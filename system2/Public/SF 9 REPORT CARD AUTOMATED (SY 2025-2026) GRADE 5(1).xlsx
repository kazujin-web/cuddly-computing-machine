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5"/>
    <sheet state="visible" name="Class Info" sheetId="2" r:id="rId6"/>
    <sheet state="visible" name="K-12 Front" sheetId="3" r:id="rId7"/>
    <sheet state="visible" name="Grade 5 Inside" sheetId="4" r:id="rId8"/>
    <sheet state="visible" name="QUARTER 1 GRADES" sheetId="5" r:id="rId9"/>
    <sheet state="visible" name="QUARTER 2 GRADES" sheetId="6" r:id="rId10"/>
    <sheet state="visible" name="QUARTER 3 GRADES" sheetId="7" r:id="rId11"/>
    <sheet state="visible" name="QUARTER 4 GRADES" sheetId="8" r:id="rId12"/>
    <sheet state="visible" name="FINAL SUMMARY" sheetId="9" r:id="rId13"/>
    <sheet state="hidden" name="K-12 Gr4-6 Inside" sheetId="10" r:id="rId14"/>
  </sheets>
  <definedNames>
    <definedName name="TRANSMUTATION_TABLE">#REF!</definedName>
  </definedNames>
  <calcPr/>
</workbook>
</file>

<file path=xl/sharedStrings.xml><?xml version="1.0" encoding="utf-8"?>
<sst xmlns="http://schemas.openxmlformats.org/spreadsheetml/2006/main" count="563" uniqueCount="180">
  <si>
    <t>Use short (8.5 X 11 board paper)</t>
  </si>
  <si>
    <t>Names</t>
  </si>
  <si>
    <t>LRN</t>
  </si>
  <si>
    <t>Sex</t>
  </si>
  <si>
    <t>Age</t>
  </si>
  <si>
    <t>Q1 BEHAVIOR</t>
  </si>
  <si>
    <t>Q2</t>
  </si>
  <si>
    <t>Q3</t>
  </si>
  <si>
    <t>Q4</t>
  </si>
  <si>
    <t>Antonio Reyes</t>
  </si>
  <si>
    <t>123456789012</t>
  </si>
  <si>
    <t>MALE</t>
  </si>
  <si>
    <t>Carlo Dela Cruz</t>
  </si>
  <si>
    <t>Daniel Bautista</t>
  </si>
  <si>
    <t>Ernesto Garcia</t>
  </si>
  <si>
    <t>Joseph Mendoza</t>
  </si>
  <si>
    <t>Luis Fernandez</t>
  </si>
  <si>
    <t>Miguel Santos</t>
  </si>
  <si>
    <t>Paolo Navarro</t>
  </si>
  <si>
    <t>Rafael Castillo</t>
  </si>
  <si>
    <t>Ramon Villanueva</t>
  </si>
  <si>
    <t>Republic of the Philippines</t>
  </si>
  <si>
    <t>REPORT ON ATTENDANCE</t>
  </si>
  <si>
    <t>DEPARTMENT OF EDUCATION</t>
  </si>
  <si>
    <t>National Capital Region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</si>
  <si>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</si>
  <si>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</si>
  <si>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</si>
  <si>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</si>
  <si>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</si>
  <si>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</si>
  <si>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</si>
  <si>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</si>
  <si>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</si>
  <si>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</si>
  <si>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</si>
  <si>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Division of Parañaque City</t>
  </si>
  <si>
    <t>2nd District</t>
  </si>
  <si>
    <t>STO. NIÑO ELEMENTARY SCHOOL</t>
  </si>
  <si>
    <r>
      <rPr>
        <rFont val="Centuy Gothic"/>
        <color theme="1"/>
        <sz val="10.0"/>
      </rPr>
      <t xml:space="preserve">School ID : </t>
    </r>
    <r>
      <rPr>
        <rFont val="Centuy Gothic"/>
        <b/>
        <color theme="1"/>
        <sz val="10.0"/>
      </rPr>
      <t>123456</t>
    </r>
  </si>
  <si>
    <t>No. of school days</t>
  </si>
  <si>
    <t>LEARNER'S PROGRESS REPORT CARD</t>
  </si>
  <si>
    <t>No. of days present</t>
  </si>
  <si>
    <t>Name:</t>
  </si>
  <si>
    <t>Age:</t>
  </si>
  <si>
    <t>Sex:</t>
  </si>
  <si>
    <t>LRN:</t>
  </si>
  <si>
    <t xml:space="preserve">Grade: </t>
  </si>
  <si>
    <t>FIVE</t>
  </si>
  <si>
    <t xml:space="preserve">Section: </t>
  </si>
  <si>
    <t>RIZAL</t>
  </si>
  <si>
    <t>No. of days absent</t>
  </si>
  <si>
    <t xml:space="preserve">School Year: </t>
  </si>
  <si>
    <t>2025-2026</t>
  </si>
  <si>
    <t>Dear Parent:</t>
  </si>
  <si>
    <t>This report card shows the ability and progress your child has</t>
  </si>
  <si>
    <t>made in the different learning areas as well as his/her core values.</t>
  </si>
  <si>
    <t>The school welcomes you if you desire to know more about your</t>
  </si>
  <si>
    <t>child's progress.</t>
  </si>
  <si>
    <t>PARENT'S/GUARDIAN'S SIGNATURE</t>
  </si>
  <si>
    <t>JUAN DELA CRUZ</t>
  </si>
  <si>
    <r>
      <rPr>
        <rFont val="Merriweather"/>
        <color theme="1"/>
        <sz val="10.0"/>
      </rPr>
      <t>1</t>
    </r>
    <r>
      <rPr>
        <rFont val="Sylfaen"/>
        <color theme="1"/>
        <sz val="10.0"/>
        <vertAlign val="superscript"/>
      </rPr>
      <t>st</t>
    </r>
    <r>
      <rPr>
        <rFont val="Sylfaen"/>
        <color theme="1"/>
        <sz val="10.0"/>
      </rPr>
      <t xml:space="preserve"> QUARTER</t>
    </r>
  </si>
  <si>
    <t>Teacher</t>
  </si>
  <si>
    <t>ADRES BONIFACO</t>
  </si>
  <si>
    <r>
      <rPr>
        <rFont val="Merriweather"/>
        <color theme="1"/>
        <sz val="10.0"/>
      </rPr>
      <t>2</t>
    </r>
    <r>
      <rPr>
        <rFont val="Sylfaen"/>
        <color theme="1"/>
        <sz val="10.0"/>
        <vertAlign val="superscript"/>
      </rPr>
      <t>nd</t>
    </r>
    <r>
      <rPr>
        <rFont val="Sylfaen"/>
        <color theme="1"/>
        <sz val="10.0"/>
      </rPr>
      <t xml:space="preserve"> QUARTER</t>
    </r>
  </si>
  <si>
    <t>Principal</t>
  </si>
  <si>
    <r>
      <rPr>
        <rFont val="Merriweather"/>
        <color theme="1"/>
        <sz val="10.0"/>
      </rPr>
      <t>3</t>
    </r>
    <r>
      <rPr>
        <rFont val="Sylfaen"/>
        <color theme="1"/>
        <sz val="10.0"/>
        <vertAlign val="superscript"/>
      </rPr>
      <t xml:space="preserve">rd </t>
    </r>
    <r>
      <rPr>
        <rFont val="Sylfaen"/>
        <color theme="1"/>
        <sz val="10.0"/>
      </rPr>
      <t>QUARTER</t>
    </r>
  </si>
  <si>
    <t>Certificate of Transfer</t>
  </si>
  <si>
    <t>Admitted to Grade:</t>
  </si>
  <si>
    <t>Section:</t>
  </si>
  <si>
    <r>
      <rPr>
        <rFont val="Merriweather"/>
        <color theme="1"/>
        <sz val="10.0"/>
      </rPr>
      <t>4</t>
    </r>
    <r>
      <rPr>
        <rFont val="Sylfaen"/>
        <color theme="1"/>
        <sz val="10.0"/>
        <vertAlign val="superscript"/>
      </rPr>
      <t>th</t>
    </r>
    <r>
      <rPr>
        <rFont val="Sylfaen"/>
        <color theme="1"/>
        <sz val="10.0"/>
      </rPr>
      <t xml:space="preserve"> QUARTER</t>
    </r>
  </si>
  <si>
    <t>Eligibility for Admission to Grade:</t>
  </si>
  <si>
    <t>Approved:</t>
  </si>
  <si>
    <t>ANDRES BONIFACIO</t>
  </si>
  <si>
    <t>Cancellation of Eligibility to Transfer</t>
  </si>
  <si>
    <t>Admitted in:</t>
  </si>
  <si>
    <t>Date:</t>
  </si>
  <si>
    <t>REPORT ON LEARNING PROGRESS AND ACHIEVEMENT</t>
  </si>
  <si>
    <t>REPORT ON LEARNER'S OBSERVED VALUES</t>
  </si>
  <si>
    <t>Learning Areas</t>
  </si>
  <si>
    <t>QUARTER</t>
  </si>
  <si>
    <t>Final</t>
  </si>
  <si>
    <t>Remarks</t>
  </si>
  <si>
    <t>Core Values</t>
  </si>
  <si>
    <t>Behavior Statements</t>
  </si>
  <si>
    <t>Grade</t>
  </si>
  <si>
    <t>Filipino</t>
  </si>
  <si>
    <t>Passed</t>
  </si>
  <si>
    <t>Expresses one's spiritual beliefs while respecting the spiritual beliefs of others.</t>
  </si>
  <si>
    <t>AO</t>
  </si>
  <si>
    <t>English</t>
  </si>
  <si>
    <t>1.  Maka-</t>
  </si>
  <si>
    <t xml:space="preserve">     Diyos</t>
  </si>
  <si>
    <t>Mathematics</t>
  </si>
  <si>
    <t>Shows adherence to ethical principles by upholding truth</t>
  </si>
  <si>
    <t>Science</t>
  </si>
  <si>
    <t>2.  Makatao</t>
  </si>
  <si>
    <t>Is sensitive to individual, social and cultural differences</t>
  </si>
  <si>
    <t>Good Manners &amp; Right Conduct (GMRC)</t>
  </si>
  <si>
    <t>Demonstrates constributions toward solidarity</t>
  </si>
  <si>
    <t>Araling Panlipunan (AP)</t>
  </si>
  <si>
    <t>3.  Maka-</t>
  </si>
  <si>
    <t>Cares for the environment and utilizes resources wisely, judiciously, and economically</t>
  </si>
  <si>
    <t>Edukasyong Pantahanan at Pangkabuhayan (EPP)</t>
  </si>
  <si>
    <t xml:space="preserve">     kalikasan</t>
  </si>
  <si>
    <t>4.   Maka-</t>
  </si>
  <si>
    <t>Demonstrates pride in being a Filipino; exercises the rights and responsibilities of a Filipino citizen</t>
  </si>
  <si>
    <t>MAPEH</t>
  </si>
  <si>
    <t xml:space="preserve">    Music &amp; Arts</t>
  </si>
  <si>
    <t xml:space="preserve">    PE &amp; Health</t>
  </si>
  <si>
    <t xml:space="preserve">      bansa</t>
  </si>
  <si>
    <t>Demonstrates appropriate behavior in carrying out activities in the school, community, and country</t>
  </si>
  <si>
    <t>AVERAGE</t>
  </si>
  <si>
    <t>General Average</t>
  </si>
  <si>
    <t>Q1</t>
  </si>
  <si>
    <t>Learning Modality</t>
  </si>
  <si>
    <t>F2F</t>
  </si>
  <si>
    <t xml:space="preserve">         Description</t>
  </si>
  <si>
    <t>Grading Scale</t>
  </si>
  <si>
    <t>Marking</t>
  </si>
  <si>
    <t>Non-numerical Rating</t>
  </si>
  <si>
    <t xml:space="preserve">          Outstanding</t>
  </si>
  <si>
    <t>90-100</t>
  </si>
  <si>
    <t>Always Observed</t>
  </si>
  <si>
    <t xml:space="preserve">          Very Satisfactory</t>
  </si>
  <si>
    <t>85-89</t>
  </si>
  <si>
    <t>SO</t>
  </si>
  <si>
    <t>Sometimes Observed</t>
  </si>
  <si>
    <t xml:space="preserve">          Satisfactory</t>
  </si>
  <si>
    <t>80-84</t>
  </si>
  <si>
    <t>RO</t>
  </si>
  <si>
    <t>Rarely Observed</t>
  </si>
  <si>
    <t xml:space="preserve">          Fairly Satisfactory</t>
  </si>
  <si>
    <t>75-79</t>
  </si>
  <si>
    <t>NO</t>
  </si>
  <si>
    <t>Not Observed</t>
  </si>
  <si>
    <t xml:space="preserve">          Did Not Meet Expectations</t>
  </si>
  <si>
    <t>Below 75</t>
  </si>
  <si>
    <t>Failed</t>
  </si>
  <si>
    <t>LEARNERS' NAMES</t>
  </si>
  <si>
    <t>GMRC</t>
  </si>
  <si>
    <t>ENGLISH</t>
  </si>
  <si>
    <t>MATH</t>
  </si>
  <si>
    <t>SCIENCE</t>
  </si>
  <si>
    <t>FILIPINO</t>
  </si>
  <si>
    <t>ARALING PANLIPUNAN</t>
  </si>
  <si>
    <t>EPP</t>
  </si>
  <si>
    <t xml:space="preserve"> AVERAGE</t>
  </si>
  <si>
    <t>RANKING</t>
  </si>
  <si>
    <t>Music Arts</t>
  </si>
  <si>
    <t>PE Health</t>
  </si>
  <si>
    <t/>
  </si>
  <si>
    <t>ESP</t>
  </si>
  <si>
    <t>MUSIC</t>
  </si>
  <si>
    <t>ARTS</t>
  </si>
  <si>
    <t>P.E.</t>
  </si>
  <si>
    <t>HEALTH</t>
  </si>
  <si>
    <t>FINAL GRADES AND GENERAL AVERAGE</t>
  </si>
  <si>
    <t>REGION</t>
  </si>
  <si>
    <t>NCR</t>
  </si>
  <si>
    <t>DIVISION</t>
  </si>
  <si>
    <t>SCHOOL YEAR</t>
  </si>
  <si>
    <t>SCHOOL NAME</t>
  </si>
  <si>
    <t>SCHOOL ID</t>
  </si>
  <si>
    <t>GRADE &amp; SECTION</t>
  </si>
  <si>
    <t>V-RIZAL</t>
  </si>
  <si>
    <t>NAMES OF LEARNERS</t>
  </si>
  <si>
    <t>FLIPINO</t>
  </si>
  <si>
    <t>MATHEMATICS</t>
  </si>
  <si>
    <t>AP</t>
  </si>
  <si>
    <t>Gen. Average</t>
  </si>
  <si>
    <t>FINAL GRADE</t>
  </si>
  <si>
    <t>FEMALE</t>
  </si>
  <si>
    <t xml:space="preserve">Science </t>
  </si>
  <si>
    <t>Edukasyon sa Pagpapakatao (EsP)</t>
  </si>
  <si>
    <t xml:space="preserve">     Kalikasan</t>
  </si>
  <si>
    <t xml:space="preserve">     Music</t>
  </si>
  <si>
    <t xml:space="preserve">     Arts</t>
  </si>
  <si>
    <t xml:space="preserve">     PE</t>
  </si>
  <si>
    <t xml:space="preserve">    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</si>
</sst>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;"/>
  </numFmts>
  <fonts count="5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erriweather"/>
    </font>
    <font>
      <sz val="10.0"/>
      <color theme="1"/>
      <name val="Century Gothic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0.0"/>
      <color theme="1"/>
      <name val="Balthazar"/>
    </font>
    <font>
      <sz val="10.0"/>
      <color theme="1"/>
      <name val="Centuy Gothic"/>
    </font>
    <font>
      <b/>
      <sz val="12.0"/>
      <color theme="1"/>
      <name val="Balthazar"/>
    </font>
    <font>
      <sz val="9.0"/>
      <color theme="1"/>
      <name val="Merriweather"/>
    </font>
    <font>
      <b/>
      <sz val="10.0"/>
      <color theme="1"/>
      <name val="Merriweather"/>
    </font>
    <font>
      <b/>
      <sz val="11.0"/>
      <color theme="1"/>
      <name val="Balthazar"/>
    </font>
    <font>
      <b/>
      <sz val="12.0"/>
      <color theme="1"/>
      <name val="Century Gothic"/>
    </font>
    <font>
      <b/>
      <sz val="12.0"/>
      <color theme="1"/>
      <name val="Merriweather"/>
    </font>
    <font>
      <b/>
      <sz val="11.0"/>
      <color theme="1"/>
      <name val="Century Gothic"/>
    </font>
    <font>
      <b/>
      <sz val="11.0"/>
      <color theme="1"/>
      <name val="Merriweather"/>
    </font>
    <font>
      <i/>
      <sz val="10.0"/>
      <color theme="1"/>
      <name val="Trebuchet MS"/>
    </font>
    <font>
      <i/>
      <sz val="11.0"/>
      <color theme="1"/>
      <name val="Calibri"/>
    </font>
    <font>
      <b/>
      <sz val="11.0"/>
      <color theme="1"/>
      <name val="Trebuchet MS"/>
    </font>
    <font>
      <b/>
      <i/>
      <sz val="10.0"/>
      <color theme="1"/>
      <name val="Trebuchet MS"/>
    </font>
    <font>
      <sz val="11.0"/>
      <color theme="1"/>
      <name val="Arial"/>
    </font>
    <font>
      <sz val="10.0"/>
      <color theme="1"/>
      <name val="Merriweather"/>
    </font>
    <font>
      <sz val="5.0"/>
      <color theme="1"/>
      <name val="Merriweather"/>
    </font>
    <font>
      <sz val="10.0"/>
      <color theme="1"/>
      <name val="Trebuchet MS"/>
    </font>
    <font>
      <sz val="11.0"/>
      <color theme="1"/>
      <name val="Times New Roman"/>
    </font>
    <font>
      <b/>
      <sz val="11.0"/>
      <color rgb="FF00B050"/>
      <name val="Calibri"/>
    </font>
    <font>
      <i/>
      <sz val="9.0"/>
      <color theme="1"/>
      <name val="Merriweather"/>
    </font>
    <font>
      <i/>
      <sz val="10.0"/>
      <color theme="1"/>
      <name val="Merriweather"/>
    </font>
    <font>
      <i/>
      <sz val="11.0"/>
      <color theme="1"/>
      <name val="Merriweather"/>
    </font>
    <font>
      <i/>
      <sz val="10.0"/>
      <color theme="0"/>
      <name val="Merriweather"/>
    </font>
    <font>
      <i/>
      <sz val="11.0"/>
      <color theme="0"/>
      <name val="Merriweather"/>
    </font>
    <font>
      <sz val="10.0"/>
      <color theme="0"/>
      <name val="Merriweather"/>
    </font>
    <font>
      <b/>
      <i/>
      <sz val="9.0"/>
      <color theme="1"/>
      <name val="Merriweather"/>
    </font>
    <font>
      <sz val="12.0"/>
      <color theme="1"/>
      <name val="Arial"/>
    </font>
    <font>
      <b/>
      <sz val="13.0"/>
      <color theme="1"/>
      <name val="Arial"/>
    </font>
    <font>
      <sz val="10.0"/>
      <color theme="1"/>
      <name val="Calibri"/>
    </font>
    <font>
      <sz val="4.0"/>
      <color theme="1"/>
      <name val="Merriweather"/>
    </font>
    <font>
      <sz val="8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24.0"/>
      <color theme="1"/>
      <name val="Arial"/>
    </font>
    <font>
      <sz val="10.0"/>
      <color rgb="FFFF0000"/>
      <name val="Arial"/>
    </font>
    <font>
      <sz val="12.0"/>
      <color theme="1"/>
      <name val="Calibri"/>
    </font>
    <font>
      <sz val="10.0"/>
      <color theme="1"/>
      <name val="Arial"/>
    </font>
    <font>
      <b/>
      <sz val="9.0"/>
      <color rgb="FF00B0F0"/>
      <name val="Arial"/>
    </font>
    <font>
      <b/>
      <sz val="11.0"/>
      <color rgb="FF00B0F0"/>
      <name val="Arial"/>
    </font>
    <font>
      <sz val="10.0"/>
      <color rgb="FF262626"/>
      <name val="Arial"/>
    </font>
    <font>
      <sz val="10.0"/>
      <color rgb="FF262626"/>
      <name val="Arial Narrow"/>
    </font>
    <font>
      <sz val="9.0"/>
      <color theme="1"/>
      <name val="Arial"/>
    </font>
    <font>
      <b/>
      <sz val="9.0"/>
      <color rgb="FFFF0000"/>
      <name val="Arial"/>
    </font>
    <font>
      <b/>
      <sz val="10.0"/>
      <color rgb="FF262626"/>
      <name val="Arial Narrow"/>
    </font>
    <font>
      <i/>
      <sz val="10.0"/>
      <color theme="1"/>
      <name val="Arial"/>
    </font>
    <font>
      <b/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D99594"/>
        <bgColor rgb="FFD99594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72">
    <border/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quotePrefix="1" borderId="0" fillId="0" fontId="3" numFmtId="0" xfId="0" applyFont="1"/>
    <xf borderId="1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2" numFmtId="0" xfId="0" applyFont="1"/>
    <xf borderId="2" fillId="0" fontId="2" numFmtId="0" xfId="0" applyBorder="1" applyFont="1"/>
    <xf borderId="0" fillId="0" fontId="3" numFmtId="0" xfId="0" applyFont="1"/>
    <xf borderId="3" fillId="0" fontId="3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readingOrder="0" vertic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textRotation="90"/>
    </xf>
    <xf borderId="7" fillId="0" fontId="4" numFmtId="17" xfId="0" applyAlignment="1" applyBorder="1" applyFont="1" applyNumberFormat="1">
      <alignment horizontal="center" textRotation="90"/>
    </xf>
    <xf borderId="8" fillId="0" fontId="7" numFmtId="0" xfId="0" applyBorder="1" applyFont="1"/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/>
    </xf>
    <xf borderId="9" fillId="0" fontId="7" numFmtId="0" xfId="0" applyBorder="1" applyFont="1"/>
    <xf borderId="0" fillId="0" fontId="11" numFmtId="0" xfId="0" applyAlignment="1" applyFont="1">
      <alignment horizontal="center"/>
    </xf>
    <xf borderId="7" fillId="0" fontId="12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14" numFmtId="0" xfId="0" applyAlignment="1" applyFont="1">
      <alignment horizontal="center"/>
    </xf>
    <xf borderId="10" fillId="0" fontId="15" numFmtId="0" xfId="0" applyAlignment="1" applyBorder="1" applyFont="1">
      <alignment horizontal="center" vertical="center"/>
    </xf>
    <xf borderId="10" fillId="0" fontId="7" numFmtId="0" xfId="0" applyBorder="1" applyFont="1"/>
    <xf borderId="0" fillId="0" fontId="16" numFmtId="0" xfId="0" applyAlignment="1" applyFont="1">
      <alignment vertical="center"/>
    </xf>
    <xf borderId="11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1" fillId="0" fontId="7" numFmtId="0" xfId="0" applyBorder="1" applyFont="1"/>
    <xf borderId="10" fillId="0" fontId="17" numFmtId="1" xfId="0" applyAlignment="1" applyBorder="1" applyFont="1" applyNumberFormat="1">
      <alignment horizontal="center" vertical="center"/>
    </xf>
    <xf borderId="0" fillId="0" fontId="17" numFmtId="1" xfId="0" applyAlignment="1" applyFont="1" applyNumberFormat="1">
      <alignment horizontal="left" vertical="center"/>
    </xf>
    <xf borderId="10" fillId="0" fontId="4" numFmtId="0" xfId="0" applyBorder="1" applyFont="1"/>
    <xf borderId="10" fillId="0" fontId="17" numFmtId="0" xfId="0" applyBorder="1" applyFont="1"/>
    <xf borderId="10" fillId="0" fontId="4" numFmtId="0" xfId="0" applyAlignment="1" applyBorder="1" applyFont="1">
      <alignment horizontal="left"/>
    </xf>
    <xf borderId="0" fillId="0" fontId="4" numFmtId="0" xfId="0" applyAlignment="1" applyFont="1">
      <alignment horizontal="right"/>
    </xf>
    <xf borderId="10" fillId="0" fontId="17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7" fillId="0" fontId="12" numFmtId="0" xfId="0" applyAlignment="1" applyBorder="1" applyFont="1">
      <alignment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0" fillId="0" fontId="1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20" numFmtId="0" xfId="0" applyFont="1"/>
    <xf borderId="0" fillId="0" fontId="19" numFmtId="0" xfId="0" applyAlignment="1" applyFont="1">
      <alignment vertical="top"/>
    </xf>
    <xf borderId="0" fillId="0" fontId="21" numFmtId="0" xfId="0" applyAlignment="1" applyFont="1">
      <alignment horizontal="center"/>
    </xf>
    <xf borderId="0" fillId="0" fontId="22" numFmtId="0" xfId="0" applyFont="1"/>
    <xf borderId="0" fillId="0" fontId="23" numFmtId="0" xfId="0" applyAlignment="1" applyFont="1">
      <alignment vertical="top"/>
    </xf>
    <xf borderId="0" fillId="0" fontId="24" numFmtId="0" xfId="0" applyAlignment="1" applyFont="1">
      <alignment vertic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10" fillId="0" fontId="21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10" fillId="0" fontId="4" numFmtId="0" xfId="0" applyAlignment="1" applyBorder="1" applyFont="1">
      <alignment vertical="top"/>
    </xf>
    <xf borderId="10" fillId="0" fontId="17" numFmtId="0" xfId="0" applyAlignment="1" applyBorder="1" applyFont="1">
      <alignment vertical="top"/>
    </xf>
    <xf borderId="10" fillId="0" fontId="3" numFmtId="0" xfId="0" applyBorder="1" applyFont="1"/>
    <xf borderId="0" fillId="0" fontId="4" numFmtId="0" xfId="0" applyAlignment="1" applyFont="1">
      <alignment horizontal="right" vertical="top"/>
    </xf>
    <xf borderId="10" fillId="0" fontId="17" numFmtId="0" xfId="0" applyAlignment="1" applyBorder="1" applyFont="1">
      <alignment horizontal="center" vertical="top"/>
    </xf>
    <xf borderId="10" fillId="0" fontId="18" numFmtId="0" xfId="0" applyAlignment="1" applyBorder="1" applyFont="1">
      <alignment horizontal="center" vertical="center"/>
    </xf>
    <xf borderId="0" fillId="0" fontId="25" numFmtId="0" xfId="0" applyFont="1"/>
    <xf borderId="0" fillId="0" fontId="26" numFmtId="0" xfId="0" applyFont="1"/>
    <xf borderId="0" fillId="0" fontId="27" numFmtId="0" xfId="0" applyFont="1"/>
    <xf borderId="10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4" numFmtId="0" xfId="0" applyFont="1"/>
    <xf borderId="0" fillId="0" fontId="28" numFmtId="0" xfId="0" applyFont="1"/>
    <xf borderId="7" fillId="2" fontId="13" numFmtId="0" xfId="0" applyAlignment="1" applyBorder="1" applyFill="1" applyFont="1">
      <alignment horizontal="center" vertical="center"/>
    </xf>
    <xf borderId="12" fillId="2" fontId="13" numFmtId="0" xfId="0" applyAlignment="1" applyBorder="1" applyFont="1">
      <alignment horizontal="center"/>
    </xf>
    <xf borderId="13" fillId="0" fontId="7" numFmtId="0" xfId="0" applyBorder="1" applyFont="1"/>
    <xf borderId="14" fillId="2" fontId="13" numFmtId="0" xfId="0" applyAlignment="1" applyBorder="1" applyFont="1">
      <alignment horizontal="center"/>
    </xf>
    <xf borderId="15" fillId="2" fontId="13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5" fillId="2" fontId="13" numFmtId="0" xfId="0" applyAlignment="1" applyBorder="1" applyFont="1">
      <alignment horizontal="center" vertical="center"/>
    </xf>
    <xf borderId="17" fillId="0" fontId="7" numFmtId="0" xfId="0" applyBorder="1" applyFont="1"/>
    <xf borderId="18" fillId="2" fontId="13" numFmtId="0" xfId="0" applyAlignment="1" applyBorder="1" applyFont="1">
      <alignment horizontal="center"/>
    </xf>
    <xf borderId="19" fillId="2" fontId="13" numFmtId="0" xfId="0" applyAlignment="1" applyBorder="1" applyFont="1">
      <alignment horizontal="center"/>
    </xf>
    <xf borderId="20" fillId="0" fontId="7" numFmtId="0" xfId="0" applyBorder="1" applyFont="1"/>
    <xf borderId="21" fillId="0" fontId="7" numFmtId="0" xfId="0" applyBorder="1" applyFont="1"/>
    <xf borderId="7" fillId="0" fontId="4" numFmtId="0" xfId="0" applyAlignment="1" applyBorder="1" applyFont="1">
      <alignment horizontal="left" vertical="center"/>
    </xf>
    <xf borderId="7" fillId="0" fontId="4" numFmtId="1" xfId="0" applyAlignment="1" applyBorder="1" applyFont="1" applyNumberFormat="1">
      <alignment horizontal="center" vertical="center"/>
    </xf>
    <xf borderId="7" fillId="3" fontId="4" numFmtId="1" xfId="0" applyAlignment="1" applyBorder="1" applyFill="1" applyFont="1" applyNumberFormat="1">
      <alignment horizontal="center" vertical="center"/>
    </xf>
    <xf borderId="7" fillId="0" fontId="24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24" numFmtId="0" xfId="0" applyAlignment="1" applyBorder="1" applyFont="1">
      <alignment shrinkToFit="0" vertical="center" wrapText="1"/>
    </xf>
    <xf borderId="22" fillId="4" fontId="3" numFmtId="0" xfId="0" applyBorder="1" applyFill="1" applyFont="1"/>
    <xf borderId="23" fillId="0" fontId="24" numFmtId="0" xfId="0" applyAlignment="1" applyBorder="1" applyFont="1">
      <alignment vertical="center"/>
    </xf>
    <xf borderId="24" fillId="0" fontId="24" numFmtId="0" xfId="0" applyAlignment="1" applyBorder="1" applyFont="1">
      <alignment vertical="center"/>
    </xf>
    <xf borderId="24" fillId="0" fontId="7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23" fillId="0" fontId="24" numFmtId="0" xfId="0" applyAlignment="1" applyBorder="1" applyFont="1">
      <alignment horizontal="left" vertical="center"/>
    </xf>
    <xf borderId="7" fillId="0" fontId="4" numFmtId="1" xfId="0" applyAlignment="1" applyBorder="1" applyFont="1" applyNumberFormat="1">
      <alignment horizontal="center" shrinkToFit="0" vertical="center" wrapText="1"/>
    </xf>
    <xf borderId="7" fillId="3" fontId="4" numFmtId="1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21" fillId="0" fontId="24" numFmtId="0" xfId="0" applyAlignment="1" applyBorder="1" applyFont="1">
      <alignment vertical="center"/>
    </xf>
    <xf borderId="15" fillId="0" fontId="24" numFmtId="0" xfId="0" applyAlignment="1" applyBorder="1" applyFont="1">
      <alignment vertical="center"/>
    </xf>
    <xf borderId="15" fillId="0" fontId="24" numFmtId="0" xfId="0" applyAlignment="1" applyBorder="1" applyFont="1">
      <alignment shrinkToFit="0" vertical="center" wrapText="1"/>
    </xf>
    <xf borderId="7" fillId="0" fontId="24" numFmtId="0" xfId="0" applyAlignment="1" applyBorder="1" applyFont="1">
      <alignment horizontal="left" shrinkToFit="0" vertical="center" wrapText="1"/>
    </xf>
    <xf borderId="7" fillId="0" fontId="24" numFmtId="1" xfId="0" applyAlignment="1" applyBorder="1" applyFont="1" applyNumberFormat="1">
      <alignment horizontal="center" shrinkToFit="0" vertical="center" wrapText="1"/>
    </xf>
    <xf borderId="23" fillId="0" fontId="7" numFmtId="0" xfId="0" applyBorder="1" applyFont="1"/>
    <xf borderId="16" fillId="0" fontId="24" numFmtId="0" xfId="0" applyAlignment="1" applyBorder="1" applyFont="1">
      <alignment vertical="center"/>
    </xf>
    <xf borderId="23" fillId="0" fontId="24" numFmtId="0" xfId="0" applyBorder="1" applyFont="1"/>
    <xf borderId="21" fillId="0" fontId="24" numFmtId="0" xfId="0" applyBorder="1" applyFont="1"/>
    <xf borderId="15" fillId="0" fontId="24" numFmtId="0" xfId="0" applyBorder="1" applyFont="1"/>
    <xf borderId="7" fillId="0" fontId="4" numFmtId="0" xfId="0" applyAlignment="1" applyBorder="1" applyFont="1">
      <alignment vertical="center"/>
    </xf>
    <xf borderId="13" fillId="0" fontId="4" numFmtId="1" xfId="0" applyAlignment="1" applyBorder="1" applyFont="1" applyNumberFormat="1">
      <alignment horizontal="center" vertical="center"/>
    </xf>
    <xf borderId="25" fillId="3" fontId="4" numFmtId="1" xfId="0" applyAlignment="1" applyBorder="1" applyFont="1" applyNumberFormat="1">
      <alignment horizontal="center" vertical="center"/>
    </xf>
    <xf borderId="18" fillId="3" fontId="4" numFmtId="1" xfId="0" applyAlignment="1" applyBorder="1" applyFont="1" applyNumberFormat="1">
      <alignment horizontal="center" vertical="center"/>
    </xf>
    <xf borderId="18" fillId="0" fontId="24" numFmtId="0" xfId="0" applyAlignment="1" applyBorder="1" applyFont="1">
      <alignment horizontal="center" vertical="center"/>
    </xf>
    <xf borderId="8" fillId="0" fontId="29" numFmtId="0" xfId="0" applyBorder="1" applyFont="1"/>
    <xf borderId="13" fillId="0" fontId="30" numFmtId="1" xfId="0" applyAlignment="1" applyBorder="1" applyFont="1" applyNumberFormat="1">
      <alignment horizontal="right" vertical="center"/>
    </xf>
    <xf borderId="25" fillId="3" fontId="30" numFmtId="1" xfId="0" applyAlignment="1" applyBorder="1" applyFont="1" applyNumberFormat="1">
      <alignment horizontal="right" vertical="center"/>
    </xf>
    <xf borderId="18" fillId="3" fontId="30" numFmtId="1" xfId="0" applyAlignment="1" applyBorder="1" applyFont="1" applyNumberFormat="1">
      <alignment horizontal="right" vertical="center"/>
    </xf>
    <xf borderId="18" fillId="3" fontId="31" numFmtId="1" xfId="0" applyAlignment="1" applyBorder="1" applyFont="1" applyNumberFormat="1">
      <alignment horizontal="right" vertical="center"/>
    </xf>
    <xf borderId="18" fillId="0" fontId="24" numFmtId="0" xfId="0" applyAlignment="1" applyBorder="1" applyFont="1">
      <alignment horizontal="center"/>
    </xf>
    <xf borderId="18" fillId="0" fontId="32" numFmtId="1" xfId="0" applyAlignment="1" applyBorder="1" applyFont="1" applyNumberFormat="1">
      <alignment vertical="center"/>
    </xf>
    <xf borderId="18" fillId="3" fontId="33" numFmtId="1" xfId="0" applyAlignment="1" applyBorder="1" applyFont="1" applyNumberFormat="1">
      <alignment horizontal="right" vertical="center"/>
    </xf>
    <xf borderId="18" fillId="0" fontId="34" numFmtId="1" xfId="0" applyAlignment="1" applyBorder="1" applyFont="1" applyNumberFormat="1">
      <alignment horizontal="center" vertical="center"/>
    </xf>
    <xf borderId="23" fillId="0" fontId="24" numFmtId="0" xfId="0" applyAlignment="1" applyBorder="1" applyFont="1">
      <alignment vertical="top"/>
    </xf>
    <xf borderId="9" fillId="0" fontId="35" numFmtId="0" xfId="0" applyAlignment="1" applyBorder="1" applyFont="1">
      <alignment horizontal="right" shrinkToFit="0" wrapText="1"/>
    </xf>
    <xf borderId="18" fillId="0" fontId="30" numFmtId="1" xfId="0" applyAlignment="1" applyBorder="1" applyFont="1" applyNumberFormat="1">
      <alignment vertical="center"/>
    </xf>
    <xf borderId="0" fillId="0" fontId="24" numFmtId="0" xfId="0" applyAlignment="1" applyFont="1">
      <alignment horizontal="left" shrinkToFit="0" vertical="center" wrapText="1"/>
    </xf>
    <xf borderId="12" fillId="0" fontId="13" numFmtId="0" xfId="0" applyAlignment="1" applyBorder="1" applyFont="1">
      <alignment horizontal="center" vertical="center"/>
    </xf>
    <xf borderId="9" fillId="0" fontId="18" numFmtId="1" xfId="0" applyAlignment="1" applyBorder="1" applyFont="1" applyNumberFormat="1">
      <alignment horizontal="center" vertical="center"/>
    </xf>
    <xf borderId="0" fillId="0" fontId="36" numFmtId="0" xfId="0" applyAlignment="1" applyFont="1">
      <alignment horizontal="center"/>
    </xf>
    <xf borderId="0" fillId="0" fontId="13" numFmtId="0" xfId="0" applyAlignment="1" applyFont="1">
      <alignment vertical="center"/>
    </xf>
    <xf borderId="12" fillId="0" fontId="24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left" vertical="center"/>
    </xf>
    <xf borderId="0" fillId="0" fontId="37" numFmtId="1" xfId="0" applyAlignment="1" applyFont="1" applyNumberFormat="1">
      <alignment horizontal="center" vertic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38" numFmtId="0" xfId="0" applyFont="1"/>
    <xf borderId="0" fillId="0" fontId="13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24" numFmtId="0" xfId="0" applyAlignment="1" applyFont="1">
      <alignment horizontal="center"/>
    </xf>
    <xf borderId="0" fillId="0" fontId="39" numFmtId="0" xfId="0" applyAlignment="1" applyFont="1">
      <alignment horizontal="center"/>
    </xf>
    <xf borderId="26" fillId="0" fontId="40" numFmtId="0" xfId="0" applyAlignment="1" applyBorder="1" applyFont="1">
      <alignment horizontal="left"/>
    </xf>
    <xf borderId="27" fillId="0" fontId="41" numFmtId="0" xfId="0" applyAlignment="1" applyBorder="1" applyFont="1">
      <alignment vertical="center"/>
    </xf>
    <xf borderId="26" fillId="5" fontId="42" numFmtId="0" xfId="0" applyAlignment="1" applyBorder="1" applyFill="1" applyFont="1">
      <alignment horizontal="center" shrinkToFit="0" textRotation="45" wrapText="1"/>
    </xf>
    <xf borderId="26" fillId="5" fontId="42" numFmtId="0" xfId="0" applyAlignment="1" applyBorder="1" applyFont="1">
      <alignment horizontal="center" textRotation="45"/>
    </xf>
    <xf borderId="26" fillId="5" fontId="42" numFmtId="0" xfId="0" applyAlignment="1" applyBorder="1" applyFont="1">
      <alignment textRotation="45"/>
    </xf>
    <xf borderId="28" fillId="0" fontId="43" numFmtId="0" xfId="0" applyAlignment="1" applyBorder="1" applyFont="1">
      <alignment textRotation="45"/>
    </xf>
    <xf borderId="29" fillId="0" fontId="8" numFmtId="0" xfId="0" applyAlignment="1" applyBorder="1" applyFont="1">
      <alignment horizontal="center" shrinkToFit="0" vertical="center" wrapText="1"/>
    </xf>
    <xf borderId="30" fillId="6" fontId="3" numFmtId="0" xfId="0" applyAlignment="1" applyBorder="1" applyFill="1" applyFont="1">
      <alignment horizontal="center" textRotation="45"/>
    </xf>
    <xf borderId="0" fillId="0" fontId="3" numFmtId="0" xfId="0" applyAlignment="1" applyFont="1">
      <alignment horizontal="right"/>
    </xf>
    <xf borderId="27" fillId="0" fontId="8" numFmtId="0" xfId="0" applyAlignment="1" applyBorder="1" applyFont="1">
      <alignment vertical="center"/>
    </xf>
    <xf borderId="26" fillId="5" fontId="8" numFmtId="0" xfId="0" applyAlignment="1" applyBorder="1" applyFont="1">
      <alignment horizontal="center"/>
    </xf>
    <xf borderId="26" fillId="0" fontId="43" numFmtId="0" xfId="0" applyAlignment="1" applyBorder="1" applyFont="1">
      <alignment horizontal="center"/>
    </xf>
    <xf borderId="31" fillId="0" fontId="7" numFmtId="0" xfId="0" applyBorder="1" applyFont="1"/>
    <xf borderId="32" fillId="0" fontId="7" numFmtId="0" xfId="0" applyBorder="1" applyFont="1"/>
    <xf borderId="33" fillId="0" fontId="8" numFmtId="0" xfId="0" applyAlignment="1" applyBorder="1" applyFont="1">
      <alignment horizontal="center"/>
    </xf>
    <xf borderId="34" fillId="4" fontId="23" numFmtId="164" xfId="0" applyBorder="1" applyFont="1" applyNumberFormat="1"/>
    <xf borderId="35" fillId="4" fontId="23" numFmtId="164" xfId="0" applyAlignment="1" applyBorder="1" applyFont="1" applyNumberFormat="1">
      <alignment horizontal="center"/>
    </xf>
    <xf borderId="35" fillId="4" fontId="23" numFmtId="164" xfId="0" applyAlignment="1" applyBorder="1" applyFont="1" applyNumberFormat="1">
      <alignment horizontal="center" vertical="center"/>
    </xf>
    <xf borderId="36" fillId="4" fontId="23" numFmtId="164" xfId="0" applyAlignment="1" applyBorder="1" applyFont="1" applyNumberFormat="1">
      <alignment horizontal="center"/>
    </xf>
    <xf borderId="37" fillId="4" fontId="23" numFmtId="164" xfId="0" applyAlignment="1" applyBorder="1" applyFont="1" applyNumberFormat="1">
      <alignment horizontal="center"/>
    </xf>
    <xf borderId="21" fillId="0" fontId="23" numFmtId="164" xfId="0" applyAlignment="1" applyBorder="1" applyFont="1" applyNumberFormat="1">
      <alignment horizontal="right"/>
    </xf>
    <xf borderId="9" fillId="0" fontId="23" numFmtId="164" xfId="0" applyAlignment="1" applyBorder="1" applyFont="1" applyNumberFormat="1">
      <alignment horizontal="right"/>
    </xf>
    <xf borderId="20" fillId="0" fontId="23" numFmtId="164" xfId="0" applyAlignment="1" applyBorder="1" applyFont="1" applyNumberFormat="1">
      <alignment horizontal="right"/>
    </xf>
    <xf borderId="18" fillId="0" fontId="8" numFmtId="164" xfId="0" applyAlignment="1" applyBorder="1" applyFont="1" applyNumberFormat="1">
      <alignment horizontal="center"/>
    </xf>
    <xf borderId="38" fillId="0" fontId="8" numFmtId="0" xfId="0" applyAlignment="1" applyBorder="1" applyFont="1">
      <alignment horizontal="center"/>
    </xf>
    <xf borderId="39" fillId="4" fontId="23" numFmtId="164" xfId="0" applyBorder="1" applyFont="1" applyNumberFormat="1"/>
    <xf borderId="39" fillId="4" fontId="23" numFmtId="164" xfId="0" applyAlignment="1" applyBorder="1" applyFont="1" applyNumberFormat="1">
      <alignment horizontal="center"/>
    </xf>
    <xf borderId="40" fillId="4" fontId="23" numFmtId="164" xfId="0" applyBorder="1" applyFont="1" applyNumberFormat="1"/>
    <xf borderId="39" fillId="7" fontId="23" numFmtId="164" xfId="0" applyBorder="1" applyFill="1" applyFont="1" applyNumberFormat="1"/>
    <xf borderId="18" fillId="7" fontId="23" numFmtId="164" xfId="0" applyBorder="1" applyFont="1" applyNumberFormat="1"/>
    <xf borderId="18" fillId="8" fontId="23" numFmtId="164" xfId="0" applyAlignment="1" applyBorder="1" applyFill="1" applyFont="1" applyNumberFormat="1">
      <alignment horizontal="center"/>
    </xf>
    <xf borderId="18" fillId="8" fontId="23" numFmtId="164" xfId="0" applyAlignment="1" applyBorder="1" applyFont="1" applyNumberFormat="1">
      <alignment horizontal="center" vertical="center"/>
    </xf>
    <xf borderId="18" fillId="0" fontId="23" numFmtId="164" xfId="0" applyAlignment="1" applyBorder="1" applyFont="1" applyNumberFormat="1">
      <alignment horizontal="right"/>
    </xf>
    <xf borderId="18" fillId="7" fontId="23" numFmtId="0" xfId="0" applyBorder="1" applyFont="1"/>
    <xf borderId="18" fillId="8" fontId="23" numFmtId="0" xfId="0" applyAlignment="1" applyBorder="1" applyFont="1">
      <alignment horizontal="center"/>
    </xf>
    <xf borderId="18" fillId="8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right"/>
    </xf>
    <xf borderId="41" fillId="7" fontId="23" numFmtId="0" xfId="0" applyBorder="1" applyFont="1"/>
    <xf borderId="41" fillId="8" fontId="23" numFmtId="0" xfId="0" applyAlignment="1" applyBorder="1" applyFont="1">
      <alignment horizontal="center"/>
    </xf>
    <xf borderId="41" fillId="8" fontId="23" numFmtId="0" xfId="0" applyAlignment="1" applyBorder="1" applyFont="1">
      <alignment horizontal="center" vertical="center"/>
    </xf>
    <xf borderId="8" fillId="0" fontId="23" numFmtId="0" xfId="0" applyAlignment="1" applyBorder="1" applyFont="1">
      <alignment horizontal="right"/>
    </xf>
    <xf borderId="3" fillId="0" fontId="2" numFmtId="0" xfId="0" applyAlignment="1" applyBorder="1" applyFont="1">
      <alignment horizontal="center" vertical="center"/>
    </xf>
    <xf borderId="18" fillId="8" fontId="23" numFmtId="0" xfId="0" applyBorder="1" applyFont="1"/>
    <xf borderId="2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36" fillId="4" fontId="23" numFmtId="164" xfId="0" applyAlignment="1" applyBorder="1" applyFont="1" applyNumberFormat="1">
      <alignment horizontal="center" vertical="center"/>
    </xf>
    <xf borderId="37" fillId="4" fontId="23" numFmtId="164" xfId="0" applyAlignment="1" applyBorder="1" applyFont="1" applyNumberFormat="1">
      <alignment horizontal="center" vertical="center"/>
    </xf>
    <xf borderId="21" fillId="0" fontId="23" numFmtId="164" xfId="0" applyAlignment="1" applyBorder="1" applyFont="1" applyNumberFormat="1">
      <alignment horizontal="center" vertical="center"/>
    </xf>
    <xf borderId="9" fillId="0" fontId="23" numFmtId="164" xfId="0" applyAlignment="1" applyBorder="1" applyFont="1" applyNumberFormat="1">
      <alignment horizontal="center" vertical="center"/>
    </xf>
    <xf borderId="20" fillId="0" fontId="23" numFmtId="164" xfId="0" applyAlignment="1" applyBorder="1" applyFont="1" applyNumberFormat="1">
      <alignment horizontal="center" vertical="center"/>
    </xf>
    <xf borderId="42" fillId="0" fontId="8" numFmtId="164" xfId="0" applyAlignment="1" applyBorder="1" applyFont="1" applyNumberFormat="1">
      <alignment horizontal="center"/>
    </xf>
    <xf borderId="43" fillId="4" fontId="8" numFmtId="164" xfId="0" applyAlignment="1" applyBorder="1" applyFont="1" applyNumberFormat="1">
      <alignment horizontal="center"/>
    </xf>
    <xf borderId="44" fillId="4" fontId="23" numFmtId="164" xfId="0" applyAlignment="1" applyBorder="1" applyFont="1" applyNumberFormat="1">
      <alignment horizontal="center" vertical="center"/>
    </xf>
    <xf borderId="45" fillId="4" fontId="23" numFmtId="164" xfId="0" applyAlignment="1" applyBorder="1" applyFont="1" applyNumberFormat="1">
      <alignment horizontal="center" vertical="center"/>
    </xf>
    <xf borderId="24" fillId="0" fontId="23" numFmtId="164" xfId="0" applyAlignment="1" applyBorder="1" applyFont="1" applyNumberFormat="1">
      <alignment horizontal="center" vertical="center"/>
    </xf>
    <xf borderId="8" fillId="0" fontId="23" numFmtId="164" xfId="0" applyAlignment="1" applyBorder="1" applyFont="1" applyNumberFormat="1">
      <alignment horizontal="center" vertical="center"/>
    </xf>
    <xf borderId="23" fillId="0" fontId="23" numFmtId="164" xfId="0" applyAlignment="1" applyBorder="1" applyFont="1" applyNumberFormat="1">
      <alignment horizontal="center" vertical="center"/>
    </xf>
    <xf borderId="46" fillId="0" fontId="8" numFmtId="164" xfId="0" applyAlignment="1" applyBorder="1" applyFont="1" applyNumberFormat="1">
      <alignment horizontal="center"/>
    </xf>
    <xf borderId="18" fillId="9" fontId="23" numFmtId="164" xfId="0" applyAlignment="1" applyBorder="1" applyFill="1" applyFont="1" applyNumberFormat="1">
      <alignment horizontal="center" vertical="center"/>
    </xf>
    <xf borderId="18" fillId="0" fontId="23" numFmtId="164" xfId="0" applyAlignment="1" applyBorder="1" applyFont="1" applyNumberFormat="1">
      <alignment horizontal="center" vertical="center"/>
    </xf>
    <xf borderId="18" fillId="9" fontId="3" numFmtId="0" xfId="0" applyAlignment="1" applyBorder="1" applyFont="1">
      <alignment horizontal="center" vertical="center"/>
    </xf>
    <xf borderId="18" fillId="4" fontId="8" numFmtId="164" xfId="0" applyAlignment="1" applyBorder="1" applyFont="1" applyNumberFormat="1">
      <alignment horizontal="center"/>
    </xf>
    <xf borderId="18" fillId="0" fontId="3" numFmtId="0" xfId="0" applyAlignment="1" applyBorder="1" applyFont="1">
      <alignment horizontal="center" vertical="center"/>
    </xf>
    <xf borderId="40" fillId="3" fontId="8" numFmtId="0" xfId="0" applyAlignment="1" applyBorder="1" applyFont="1">
      <alignment horizontal="center"/>
    </xf>
    <xf borderId="47" fillId="3" fontId="23" numFmtId="164" xfId="0" applyAlignment="1" applyBorder="1" applyFont="1" applyNumberFormat="1">
      <alignment horizontal="center" vertical="center"/>
    </xf>
    <xf borderId="19" fillId="3" fontId="23" numFmtId="164" xfId="0" applyAlignment="1" applyBorder="1" applyFont="1" applyNumberFormat="1">
      <alignment horizontal="center" vertical="center"/>
    </xf>
    <xf borderId="48" fillId="3" fontId="23" numFmtId="164" xfId="0" applyAlignment="1" applyBorder="1" applyFont="1" applyNumberFormat="1">
      <alignment horizontal="center" vertical="center"/>
    </xf>
    <xf borderId="43" fillId="3" fontId="8" numFmtId="164" xfId="0" applyAlignment="1" applyBorder="1" applyFont="1" applyNumberFormat="1">
      <alignment horizontal="center"/>
    </xf>
    <xf borderId="22" fillId="3" fontId="3" numFmtId="0" xfId="0" applyBorder="1" applyFont="1"/>
    <xf borderId="22" fillId="3" fontId="3" numFmtId="0" xfId="0" applyAlignment="1" applyBorder="1" applyFont="1">
      <alignment horizontal="right"/>
    </xf>
    <xf borderId="40" fillId="4" fontId="8" numFmtId="0" xfId="0" applyAlignment="1" applyBorder="1" applyFont="1">
      <alignment horizontal="center"/>
    </xf>
    <xf borderId="36" fillId="4" fontId="8" numFmtId="0" xfId="0" applyAlignment="1" applyBorder="1" applyFont="1">
      <alignment horizontal="center"/>
    </xf>
    <xf borderId="0" fillId="0" fontId="3" numFmtId="164" xfId="0" applyAlignment="1" applyFont="1" applyNumberFormat="1">
      <alignment horizontal="right"/>
    </xf>
    <xf borderId="37" fillId="5" fontId="8" numFmtId="0" xfId="0" applyAlignment="1" applyBorder="1" applyFont="1">
      <alignment horizontal="center"/>
    </xf>
    <xf borderId="0" fillId="0" fontId="44" numFmtId="0" xfId="0" applyAlignment="1" applyFont="1">
      <alignment horizontal="center" vertical="center"/>
    </xf>
    <xf borderId="0" fillId="0" fontId="40" numFmtId="0" xfId="0" applyAlignment="1" applyFont="1">
      <alignment horizontal="center"/>
    </xf>
    <xf borderId="0" fillId="0" fontId="43" numFmtId="2" xfId="0" applyAlignment="1" applyFont="1" applyNumberFormat="1">
      <alignment horizontal="center"/>
    </xf>
    <xf borderId="0" fillId="0" fontId="45" numFmtId="0" xfId="0" applyAlignment="1" applyFont="1">
      <alignment horizontal="center"/>
    </xf>
    <xf borderId="12" fillId="0" fontId="36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6" numFmtId="164" xfId="0" applyAlignment="1" applyFont="1" applyNumberFormat="1">
      <alignment horizontal="center"/>
    </xf>
    <xf borderId="12" fillId="0" fontId="46" numFmtId="0" xfId="0" applyAlignment="1" applyBorder="1" applyFont="1">
      <alignment horizontal="center" vertical="center"/>
    </xf>
    <xf borderId="0" fillId="0" fontId="43" numFmtId="164" xfId="0" applyFont="1" applyNumberFormat="1"/>
    <xf borderId="0" fillId="0" fontId="6" numFmtId="164" xfId="0" applyFont="1" applyNumberFormat="1"/>
    <xf borderId="0" fillId="0" fontId="36" numFmtId="0" xfId="0" applyFont="1"/>
    <xf borderId="0" fillId="0" fontId="43" numFmtId="164" xfId="0" applyAlignment="1" applyFont="1" applyNumberFormat="1">
      <alignment horizontal="center"/>
    </xf>
    <xf borderId="0" fillId="0" fontId="6" numFmtId="0" xfId="0" applyAlignment="1" applyFont="1">
      <alignment horizontal="right"/>
    </xf>
    <xf borderId="0" fillId="0" fontId="40" numFmtId="0" xfId="0" applyAlignment="1" applyFont="1">
      <alignment horizontal="right"/>
    </xf>
    <xf borderId="0" fillId="0" fontId="40" numFmtId="164" xfId="0" applyAlignment="1" applyFont="1" applyNumberFormat="1">
      <alignment horizontal="center"/>
    </xf>
    <xf borderId="0" fillId="0" fontId="36" numFmtId="164" xfId="0" applyAlignment="1" applyFont="1" applyNumberFormat="1">
      <alignment horizontal="center"/>
    </xf>
    <xf borderId="0" fillId="0" fontId="40" numFmtId="164" xfId="0" applyAlignment="1" applyFont="1" applyNumberFormat="1">
      <alignment horizontal="right"/>
    </xf>
    <xf borderId="0" fillId="0" fontId="8" numFmtId="0" xfId="0" applyFont="1"/>
    <xf borderId="12" fillId="0" fontId="46" numFmtId="0" xfId="0" applyAlignment="1" applyBorder="1" applyFont="1">
      <alignment horizontal="center" readingOrder="0" vertical="center"/>
    </xf>
    <xf borderId="12" fillId="0" fontId="36" numFmtId="164" xfId="0" applyAlignment="1" applyBorder="1" applyFont="1" applyNumberFormat="1">
      <alignment horizontal="center" vertical="center"/>
    </xf>
    <xf borderId="13" fillId="0" fontId="43" numFmtId="164" xfId="0" applyBorder="1" applyFont="1" applyNumberFormat="1"/>
    <xf borderId="12" fillId="0" fontId="46" numFmtId="0" xfId="0" applyAlignment="1" applyBorder="1" applyFont="1">
      <alignment horizontal="center"/>
    </xf>
    <xf borderId="0" fillId="0" fontId="40" numFmtId="164" xfId="0" applyFont="1" applyNumberFormat="1"/>
    <xf borderId="49" fillId="0" fontId="41" numFmtId="0" xfId="0" applyAlignment="1" applyBorder="1" applyFont="1">
      <alignment horizontal="center" vertical="center"/>
    </xf>
    <xf borderId="1" fillId="0" fontId="7" numFmtId="0" xfId="0" applyBorder="1" applyFont="1"/>
    <xf borderId="50" fillId="0" fontId="8" numFmtId="0" xfId="0" applyAlignment="1" applyBorder="1" applyFont="1">
      <alignment horizontal="center" vertical="center"/>
    </xf>
    <xf borderId="51" fillId="0" fontId="7" numFmtId="0" xfId="0" applyBorder="1" applyFont="1"/>
    <xf borderId="52" fillId="0" fontId="7" numFmtId="0" xfId="0" applyBorder="1" applyFont="1"/>
    <xf borderId="51" fillId="0" fontId="8" numFmtId="0" xfId="0" applyAlignment="1" applyBorder="1" applyFont="1">
      <alignment horizontal="center" vertical="center"/>
    </xf>
    <xf borderId="53" fillId="0" fontId="7" numFmtId="0" xfId="0" applyBorder="1" applyFont="1"/>
    <xf borderId="51" fillId="0" fontId="8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horizontal="center" shrinkToFit="0" vertical="center" wrapText="1"/>
    </xf>
    <xf borderId="54" fillId="0" fontId="23" numFmtId="0" xfId="0" applyAlignment="1" applyBorder="1" applyFont="1">
      <alignment horizontal="center" shrinkToFit="0" vertical="center" wrapText="1"/>
    </xf>
    <xf borderId="0" fillId="0" fontId="47" numFmtId="0" xfId="0" applyFont="1"/>
    <xf borderId="2" fillId="0" fontId="7" numFmtId="0" xfId="0" applyBorder="1" applyFont="1"/>
    <xf borderId="38" fillId="0" fontId="42" numFmtId="0" xfId="0" applyAlignment="1" applyBorder="1" applyFont="1">
      <alignment horizontal="center"/>
    </xf>
    <xf borderId="55" fillId="0" fontId="42" numFmtId="0" xfId="0" applyAlignment="1" applyBorder="1" applyFont="1">
      <alignment horizontal="center" shrinkToFit="0" wrapText="1"/>
    </xf>
    <xf borderId="11" fillId="0" fontId="42" numFmtId="0" xfId="0" applyAlignment="1" applyBorder="1" applyFont="1">
      <alignment horizontal="center"/>
    </xf>
    <xf borderId="15" fillId="0" fontId="42" numFmtId="0" xfId="0" applyAlignment="1" applyBorder="1" applyFont="1">
      <alignment horizontal="center" shrinkToFit="0" wrapText="1"/>
    </xf>
    <xf borderId="46" fillId="0" fontId="7" numFmtId="0" xfId="0" applyBorder="1" applyFont="1"/>
    <xf borderId="3" fillId="0" fontId="7" numFmtId="0" xfId="0" applyBorder="1" applyFont="1"/>
    <xf borderId="33" fillId="0" fontId="7" numFmtId="0" xfId="0" applyBorder="1" applyFont="1"/>
    <xf borderId="56" fillId="0" fontId="42" numFmtId="0" xfId="0" applyAlignment="1" applyBorder="1" applyFont="1">
      <alignment horizontal="center"/>
    </xf>
    <xf borderId="18" fillId="0" fontId="42" numFmtId="0" xfId="0" applyAlignment="1" applyBorder="1" applyFont="1">
      <alignment horizontal="center"/>
    </xf>
    <xf borderId="57" fillId="0" fontId="7" numFmtId="0" xfId="0" applyBorder="1" applyFont="1"/>
    <xf borderId="13" fillId="0" fontId="42" numFmtId="0" xfId="0" applyAlignment="1" applyBorder="1" applyFont="1">
      <alignment horizontal="center"/>
    </xf>
    <xf borderId="42" fillId="0" fontId="7" numFmtId="0" xfId="0" applyBorder="1" applyFont="1"/>
    <xf borderId="58" fillId="0" fontId="7" numFmtId="0" xfId="0" applyBorder="1" applyFont="1"/>
    <xf borderId="56" fillId="10" fontId="48" numFmtId="0" xfId="0" applyBorder="1" applyFill="1" applyFont="1"/>
    <xf borderId="59" fillId="10" fontId="42" numFmtId="0" xfId="0" applyAlignment="1" applyBorder="1" applyFont="1">
      <alignment horizontal="center"/>
    </xf>
    <xf borderId="60" fillId="10" fontId="48" numFmtId="0" xfId="0" applyBorder="1" applyFont="1"/>
    <xf borderId="18" fillId="10" fontId="48" numFmtId="0" xfId="0" applyBorder="1" applyFont="1"/>
    <xf borderId="61" fillId="10" fontId="48" numFmtId="0" xfId="0" applyBorder="1" applyFont="1"/>
    <xf borderId="25" fillId="10" fontId="48" numFmtId="0" xfId="0" applyBorder="1" applyFont="1"/>
    <xf borderId="59" fillId="10" fontId="48" numFmtId="0" xfId="0" applyBorder="1" applyFont="1"/>
    <xf borderId="39" fillId="11" fontId="49" numFmtId="0" xfId="0" applyBorder="1" applyFill="1" applyFont="1"/>
    <xf borderId="62" fillId="11" fontId="23" numFmtId="0" xfId="0" applyAlignment="1" applyBorder="1" applyFont="1">
      <alignment shrinkToFit="0" vertical="center" wrapText="1"/>
    </xf>
    <xf borderId="56" fillId="0" fontId="47" numFmtId="0" xfId="0" applyBorder="1" applyFont="1"/>
    <xf borderId="12" fillId="0" fontId="50" numFmtId="0" xfId="0" applyAlignment="1" applyBorder="1" applyFont="1">
      <alignment shrinkToFit="0" vertical="center" wrapText="1"/>
    </xf>
    <xf borderId="11" fillId="0" fontId="51" numFmtId="0" xfId="0" applyAlignment="1" applyBorder="1" applyFont="1">
      <alignment shrinkToFit="0" vertical="center" wrapText="1"/>
    </xf>
    <xf borderId="56" fillId="0" fontId="52" numFmtId="1" xfId="0" applyAlignment="1" applyBorder="1" applyFont="1" applyNumberFormat="1">
      <alignment horizontal="center"/>
    </xf>
    <xf borderId="18" fillId="0" fontId="52" numFmtId="1" xfId="0" applyAlignment="1" applyBorder="1" applyFont="1" applyNumberFormat="1">
      <alignment horizontal="center"/>
    </xf>
    <xf borderId="61" fillId="0" fontId="53" numFmtId="1" xfId="0" applyAlignment="1" applyBorder="1" applyFont="1" applyNumberFormat="1">
      <alignment horizontal="center"/>
    </xf>
    <xf borderId="13" fillId="0" fontId="52" numFmtId="1" xfId="0" applyAlignment="1" applyBorder="1" applyFont="1" applyNumberFormat="1">
      <alignment horizontal="center"/>
    </xf>
    <xf borderId="12" fillId="0" fontId="53" numFmtId="1" xfId="0" applyAlignment="1" applyBorder="1" applyFont="1" applyNumberFormat="1">
      <alignment horizontal="center"/>
    </xf>
    <xf borderId="39" fillId="0" fontId="42" numFmtId="2" xfId="0" applyAlignment="1" applyBorder="1" applyFont="1" applyNumberFormat="1">
      <alignment horizontal="center"/>
    </xf>
    <xf borderId="63" fillId="0" fontId="53" numFmtId="1" xfId="0" applyAlignment="1" applyBorder="1" applyFont="1" applyNumberFormat="1">
      <alignment horizontal="center"/>
    </xf>
    <xf borderId="12" fillId="0" fontId="51" numFmtId="0" xfId="0" applyAlignment="1" applyBorder="1" applyFont="1">
      <alignment shrinkToFit="0" vertical="center" wrapText="1"/>
    </xf>
    <xf borderId="64" fillId="11" fontId="47" numFmtId="0" xfId="0" applyBorder="1" applyFont="1"/>
    <xf borderId="65" fillId="11" fontId="54" numFmtId="0" xfId="0" applyAlignment="1" applyBorder="1" applyFont="1">
      <alignment horizontal="left" shrinkToFit="0" vertical="center" wrapText="1"/>
    </xf>
    <xf borderId="66" fillId="11" fontId="51" numFmtId="0" xfId="0" applyAlignment="1" applyBorder="1" applyFont="1">
      <alignment shrinkToFit="0" vertical="center" wrapText="1"/>
    </xf>
    <xf borderId="64" fillId="11" fontId="52" numFmtId="1" xfId="0" applyAlignment="1" applyBorder="1" applyFont="1" applyNumberFormat="1">
      <alignment horizontal="center"/>
    </xf>
    <xf borderId="67" fillId="11" fontId="52" numFmtId="1" xfId="0" applyAlignment="1" applyBorder="1" applyFont="1" applyNumberFormat="1">
      <alignment horizontal="center"/>
    </xf>
    <xf borderId="68" fillId="11" fontId="53" numFmtId="1" xfId="0" applyAlignment="1" applyBorder="1" applyFont="1" applyNumberFormat="1">
      <alignment horizontal="center"/>
    </xf>
    <xf borderId="69" fillId="11" fontId="52" numFmtId="1" xfId="0" applyAlignment="1" applyBorder="1" applyFont="1" applyNumberFormat="1">
      <alignment horizontal="center"/>
    </xf>
    <xf borderId="65" fillId="11" fontId="53" numFmtId="1" xfId="0" applyAlignment="1" applyBorder="1" applyFont="1" applyNumberFormat="1">
      <alignment horizontal="center"/>
    </xf>
    <xf borderId="26" fillId="11" fontId="42" numFmtId="2" xfId="0" applyAlignment="1" applyBorder="1" applyFont="1" applyNumberFormat="1">
      <alignment horizontal="center"/>
    </xf>
    <xf borderId="70" fillId="11" fontId="53" numFmtId="1" xfId="0" applyAlignment="1" applyBorder="1" applyFont="1" applyNumberFormat="1">
      <alignment horizontal="center"/>
    </xf>
    <xf borderId="71" fillId="0" fontId="47" numFmtId="0" xfId="0" applyBorder="1" applyFont="1"/>
    <xf borderId="20" fillId="0" fontId="51" numFmtId="0" xfId="0" applyAlignment="1" applyBorder="1" applyFont="1">
      <alignment shrinkToFit="0" vertical="center" wrapText="1"/>
    </xf>
    <xf borderId="10" fillId="0" fontId="51" numFmtId="0" xfId="0" applyAlignment="1" applyBorder="1" applyFont="1">
      <alignment shrinkToFit="0" vertical="center" wrapText="1"/>
    </xf>
    <xf borderId="71" fillId="0" fontId="52" numFmtId="1" xfId="0" applyAlignment="1" applyBorder="1" applyFont="1" applyNumberFormat="1">
      <alignment horizontal="center"/>
    </xf>
    <xf borderId="9" fillId="0" fontId="52" numFmtId="1" xfId="0" applyAlignment="1" applyBorder="1" applyFont="1" applyNumberFormat="1">
      <alignment horizontal="center"/>
    </xf>
    <xf borderId="57" fillId="0" fontId="53" numFmtId="1" xfId="0" applyAlignment="1" applyBorder="1" applyFont="1" applyNumberFormat="1">
      <alignment horizontal="center"/>
    </xf>
    <xf borderId="21" fillId="0" fontId="52" numFmtId="1" xfId="0" applyAlignment="1" applyBorder="1" applyFont="1" applyNumberFormat="1">
      <alignment horizontal="center"/>
    </xf>
    <xf borderId="20" fillId="0" fontId="53" numFmtId="1" xfId="0" applyAlignment="1" applyBorder="1" applyFont="1" applyNumberFormat="1">
      <alignment horizontal="center"/>
    </xf>
    <xf borderId="42" fillId="0" fontId="42" numFmtId="2" xfId="0" applyAlignment="1" applyBorder="1" applyFont="1" applyNumberFormat="1">
      <alignment horizontal="center"/>
    </xf>
    <xf borderId="58" fillId="0" fontId="53" numFmtId="1" xfId="0" applyAlignment="1" applyBorder="1" applyFont="1" applyNumberFormat="1">
      <alignment horizontal="center"/>
    </xf>
    <xf borderId="7" fillId="0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/>
    </xf>
    <xf borderId="7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7" fillId="0" fontId="36" numFmtId="1" xfId="0" applyAlignment="1" applyBorder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7" fillId="0" fontId="47" numFmtId="0" xfId="0" applyAlignment="1" applyBorder="1" applyFont="1">
      <alignment horizontal="center" vertical="center"/>
    </xf>
    <xf borderId="7" fillId="0" fontId="36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7" fillId="0" fontId="36" numFmtId="1" xfId="0" applyAlignment="1" applyBorder="1" applyFont="1" applyNumberFormat="1">
      <alignment horizontal="center" shrinkToFit="0" vertical="center" wrapText="1"/>
    </xf>
    <xf borderId="7" fillId="0" fontId="6" numFmtId="1" xfId="0" applyAlignment="1" applyBorder="1" applyFont="1" applyNumberFormat="1">
      <alignment horizontal="center" shrinkToFit="0" vertical="center" wrapText="1"/>
    </xf>
    <xf borderId="7" fillId="0" fontId="47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shrinkToFit="0" vertical="center" wrapText="1"/>
    </xf>
    <xf borderId="24" fillId="0" fontId="24" numFmtId="0" xfId="0" applyBorder="1" applyFont="1"/>
    <xf borderId="13" fillId="0" fontId="36" numFmtId="1" xfId="0" applyAlignment="1" applyBorder="1" applyFont="1" applyNumberFormat="1">
      <alignment horizontal="center" vertical="center"/>
    </xf>
    <xf borderId="18" fillId="0" fontId="6" numFmtId="1" xfId="0" applyAlignment="1" applyBorder="1" applyFont="1" applyNumberFormat="1">
      <alignment horizontal="center" vertical="center"/>
    </xf>
    <xf borderId="18" fillId="0" fontId="47" numFmtId="0" xfId="0" applyAlignment="1" applyBorder="1" applyFont="1">
      <alignment horizontal="center" vertical="center"/>
    </xf>
    <xf borderId="8" fillId="0" fontId="31" numFmtId="0" xfId="0" applyBorder="1" applyFont="1"/>
    <xf borderId="13" fillId="0" fontId="55" numFmtId="1" xfId="0" applyAlignment="1" applyBorder="1" applyFont="1" applyNumberFormat="1">
      <alignment horizontal="center" vertical="center"/>
    </xf>
    <xf borderId="18" fillId="0" fontId="55" numFmtId="1" xfId="0" applyAlignment="1" applyBorder="1" applyFont="1" applyNumberFormat="1">
      <alignment horizontal="center" vertical="center"/>
    </xf>
    <xf borderId="18" fillId="0" fontId="23" numFmtId="1" xfId="0" applyAlignment="1" applyBorder="1" applyFont="1" applyNumberFormat="1">
      <alignment horizontal="center" vertical="center"/>
    </xf>
    <xf borderId="18" fillId="0" fontId="36" numFmtId="0" xfId="0" applyAlignment="1" applyBorder="1" applyFont="1">
      <alignment horizontal="center"/>
    </xf>
    <xf borderId="9" fillId="0" fontId="31" numFmtId="0" xfId="0" applyAlignment="1" applyBorder="1" applyFont="1">
      <alignment shrinkToFit="0" wrapText="1"/>
    </xf>
    <xf borderId="12" fillId="0" fontId="13" numFmtId="0" xfId="0" applyAlignment="1" applyBorder="1" applyFont="1">
      <alignment vertical="center"/>
    </xf>
    <xf borderId="12" fillId="0" fontId="37" numFmtId="1" xfId="0" applyAlignment="1" applyBorder="1" applyFont="1" applyNumberFormat="1">
      <alignment horizontal="center" vertical="center"/>
    </xf>
    <xf borderId="15" fillId="0" fontId="56" numFmtId="1" xfId="0" applyAlignment="1" applyBorder="1" applyFont="1" applyNumberFormat="1">
      <alignment horizontal="center" vertical="center"/>
    </xf>
    <xf borderId="20" fillId="0" fontId="2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0</xdr:row>
      <xdr:rowOff>76200</xdr:rowOff>
    </xdr:from>
    <xdr:ext cx="1181100" cy="1219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152400</xdr:colOff>
      <xdr:row>1</xdr:row>
      <xdr:rowOff>66675</xdr:rowOff>
    </xdr:from>
    <xdr:ext cx="1895475" cy="685800"/>
    <xdr:pic>
      <xdr:nvPicPr>
        <xdr:cNvPr descr="http://depedverify.appspot.com/img/logo.gif"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FF"/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7.43"/>
    <col customWidth="1" min="3" max="4" width="8.71"/>
    <col customWidth="1" min="5" max="5" width="15.14"/>
    <col customWidth="1" min="6" max="7" width="8.71"/>
    <col customWidth="1" min="8" max="8" width="22.14"/>
    <col customWidth="1" min="9" max="26" width="8.71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1" t="s">
        <v>9</v>
      </c>
      <c r="B3" s="3" t="s">
        <v>10</v>
      </c>
      <c r="C3" s="4" t="s">
        <v>11</v>
      </c>
      <c r="D3" s="5">
        <v>10.0</v>
      </c>
      <c r="E3" s="6"/>
    </row>
    <row r="4">
      <c r="A4" s="1" t="s">
        <v>12</v>
      </c>
      <c r="B4" s="3" t="s">
        <v>10</v>
      </c>
      <c r="C4" s="7" t="s">
        <v>11</v>
      </c>
      <c r="D4" s="5">
        <v>10.0</v>
      </c>
      <c r="E4" s="6"/>
    </row>
    <row r="5">
      <c r="A5" s="1" t="s">
        <v>13</v>
      </c>
      <c r="B5" s="3" t="s">
        <v>10</v>
      </c>
      <c r="C5" s="7" t="s">
        <v>11</v>
      </c>
      <c r="D5" s="5">
        <v>11.0</v>
      </c>
      <c r="E5" s="6"/>
    </row>
    <row r="6">
      <c r="A6" s="1" t="s">
        <v>14</v>
      </c>
      <c r="B6" s="3" t="s">
        <v>10</v>
      </c>
      <c r="C6" s="7" t="s">
        <v>11</v>
      </c>
      <c r="D6" s="5">
        <v>10.0</v>
      </c>
      <c r="E6" s="6"/>
    </row>
    <row r="7">
      <c r="A7" s="1" t="s">
        <v>15</v>
      </c>
      <c r="B7" s="3" t="s">
        <v>10</v>
      </c>
      <c r="C7" s="7" t="s">
        <v>11</v>
      </c>
      <c r="D7" s="5">
        <v>10.0</v>
      </c>
      <c r="E7" s="6"/>
    </row>
    <row r="8">
      <c r="A8" s="1" t="s">
        <v>16</v>
      </c>
      <c r="B8" s="3" t="s">
        <v>10</v>
      </c>
      <c r="C8" s="7" t="s">
        <v>11</v>
      </c>
      <c r="D8" s="5">
        <v>10.0</v>
      </c>
      <c r="E8" s="6"/>
    </row>
    <row r="9">
      <c r="A9" s="1" t="s">
        <v>17</v>
      </c>
      <c r="B9" s="3" t="s">
        <v>10</v>
      </c>
      <c r="C9" s="7" t="s">
        <v>11</v>
      </c>
      <c r="D9" s="5">
        <v>10.0</v>
      </c>
      <c r="E9" s="6"/>
    </row>
    <row r="10">
      <c r="A10" s="1" t="s">
        <v>18</v>
      </c>
      <c r="B10" s="3" t="s">
        <v>10</v>
      </c>
      <c r="C10" s="7" t="s">
        <v>11</v>
      </c>
      <c r="D10" s="5">
        <v>10.0</v>
      </c>
      <c r="E10" s="6"/>
    </row>
    <row r="11">
      <c r="A11" s="1" t="s">
        <v>19</v>
      </c>
      <c r="B11" s="3" t="s">
        <v>10</v>
      </c>
      <c r="C11" s="7" t="s">
        <v>11</v>
      </c>
      <c r="D11" s="5">
        <v>10.0</v>
      </c>
      <c r="E11" s="6"/>
    </row>
    <row r="12">
      <c r="A12" s="1" t="s">
        <v>20</v>
      </c>
      <c r="B12" s="3" t="s">
        <v>10</v>
      </c>
      <c r="C12" s="7" t="s">
        <v>11</v>
      </c>
      <c r="D12" s="5">
        <v>10.0</v>
      </c>
      <c r="E12" s="6"/>
    </row>
    <row r="13">
      <c r="A13" s="8"/>
      <c r="C13" s="7"/>
      <c r="D13" s="5"/>
      <c r="E13" s="6"/>
    </row>
    <row r="14">
      <c r="A14" s="8"/>
      <c r="C14" s="7"/>
      <c r="D14" s="5"/>
      <c r="E14" s="6"/>
    </row>
    <row r="15">
      <c r="A15" s="8"/>
      <c r="C15" s="7"/>
      <c r="E15" s="6"/>
    </row>
    <row r="16">
      <c r="A16" s="8"/>
      <c r="C16" s="7"/>
      <c r="E16" s="6"/>
    </row>
    <row r="17">
      <c r="A17" s="8"/>
      <c r="C17" s="7"/>
      <c r="E17" s="6"/>
    </row>
    <row r="18">
      <c r="A18" s="8"/>
      <c r="C18" s="7"/>
      <c r="E18" s="6"/>
    </row>
    <row r="19">
      <c r="A19" s="8"/>
      <c r="C19" s="7"/>
      <c r="E19" s="6"/>
    </row>
    <row r="20">
      <c r="A20" s="8"/>
      <c r="C20" s="7"/>
      <c r="E20" s="6"/>
    </row>
    <row r="21" ht="15.75" customHeight="1">
      <c r="A21" s="8"/>
      <c r="C21" s="7"/>
      <c r="E21" s="6"/>
    </row>
    <row r="22" ht="15.75" customHeight="1">
      <c r="A22" s="8"/>
      <c r="C22" s="7"/>
      <c r="D22" s="9"/>
      <c r="E22" s="6"/>
    </row>
    <row r="23" ht="15.75" customHeight="1">
      <c r="A23" s="8"/>
      <c r="B23" s="9"/>
      <c r="C23" s="7"/>
      <c r="D23" s="9"/>
      <c r="E23" s="6"/>
    </row>
    <row r="24" ht="15.75" customHeight="1">
      <c r="A24" s="8"/>
      <c r="B24" s="9"/>
      <c r="C24" s="7"/>
      <c r="D24" s="9"/>
      <c r="E24" s="6"/>
    </row>
    <row r="25" ht="15.75" customHeight="1">
      <c r="A25" s="8"/>
      <c r="B25" s="9"/>
      <c r="C25" s="7"/>
      <c r="D25" s="9"/>
      <c r="E25" s="6"/>
    </row>
    <row r="26" ht="15.75" customHeight="1">
      <c r="A26" s="8"/>
      <c r="B26" s="9"/>
      <c r="C26" s="7"/>
      <c r="D26" s="9"/>
      <c r="E26" s="6"/>
    </row>
    <row r="27" ht="15.75" customHeight="1">
      <c r="A27" s="8"/>
      <c r="B27" s="9"/>
      <c r="C27" s="7"/>
      <c r="D27" s="9"/>
      <c r="E27" s="6"/>
    </row>
    <row r="28" ht="15.75" customHeight="1">
      <c r="A28" s="8"/>
      <c r="B28" s="9"/>
      <c r="C28" s="7"/>
      <c r="D28" s="9"/>
      <c r="E28" s="6"/>
    </row>
    <row r="29" ht="15.75" customHeight="1">
      <c r="A29" s="8"/>
      <c r="B29" s="9"/>
      <c r="C29" s="7"/>
      <c r="D29" s="9"/>
      <c r="E29" s="6"/>
    </row>
    <row r="30" ht="15.75" customHeight="1">
      <c r="A30" s="8"/>
      <c r="B30" s="9"/>
      <c r="C30" s="7"/>
      <c r="D30" s="9"/>
      <c r="E30" s="6"/>
    </row>
    <row r="31" ht="15.75" customHeight="1">
      <c r="A31" s="8"/>
      <c r="B31" s="9"/>
      <c r="C31" s="7"/>
      <c r="D31" s="9"/>
      <c r="E31" s="6"/>
    </row>
    <row r="32" ht="15.75" customHeight="1">
      <c r="A32" s="8"/>
      <c r="B32" s="9"/>
      <c r="C32" s="7"/>
      <c r="D32" s="10"/>
      <c r="E32" s="6"/>
    </row>
    <row r="33" ht="15.75" customHeight="1">
      <c r="A33" s="8"/>
      <c r="B33" s="9"/>
      <c r="C33" s="7"/>
      <c r="D33" s="10"/>
      <c r="E33" s="6"/>
    </row>
    <row r="34" ht="15.75" customHeight="1">
      <c r="A34" s="8"/>
      <c r="B34" s="9"/>
      <c r="C34" s="7"/>
      <c r="D34" s="10"/>
      <c r="E34" s="6"/>
    </row>
    <row r="35" ht="15.75" customHeight="1">
      <c r="A35" s="8"/>
      <c r="B35" s="9"/>
      <c r="C35" s="7"/>
      <c r="D35" s="10"/>
      <c r="E35" s="6"/>
    </row>
    <row r="36" ht="15.75" customHeight="1">
      <c r="A36" s="8"/>
      <c r="B36" s="7"/>
      <c r="C36" s="7"/>
      <c r="D36" s="10"/>
    </row>
    <row r="37" ht="15.75" customHeight="1">
      <c r="A37" s="8"/>
      <c r="B37" s="7"/>
      <c r="C37" s="7"/>
      <c r="D37" s="11"/>
    </row>
    <row r="38" ht="15.75" customHeight="1">
      <c r="A38" s="8"/>
      <c r="B38" s="7"/>
      <c r="C38" s="7"/>
      <c r="D38" s="11"/>
    </row>
    <row r="39" ht="15.75" customHeight="1">
      <c r="A39" s="8"/>
      <c r="B39" s="7"/>
      <c r="C39" s="7"/>
      <c r="D39" s="11"/>
    </row>
    <row r="40" ht="15.75" customHeight="1">
      <c r="A40" s="8"/>
      <c r="B40" s="7"/>
      <c r="C40" s="7"/>
      <c r="D40" s="11"/>
    </row>
    <row r="41" ht="15.75" customHeight="1">
      <c r="A41" s="8"/>
      <c r="B41" s="7"/>
      <c r="C41" s="7"/>
      <c r="D41" s="11"/>
    </row>
    <row r="42" ht="15.75" customHeight="1">
      <c r="A42" s="8"/>
      <c r="B42" s="7"/>
      <c r="C42" s="7"/>
      <c r="D42" s="11"/>
    </row>
    <row r="43" ht="15.75" customHeight="1">
      <c r="A43" s="8"/>
      <c r="B43" s="7"/>
      <c r="C43" s="7"/>
      <c r="D43" s="11"/>
    </row>
    <row r="44" ht="15.75" customHeight="1">
      <c r="A44" s="8"/>
      <c r="B44" s="7"/>
      <c r="C44" s="7"/>
      <c r="D44" s="12"/>
    </row>
    <row r="45" ht="15.75" customHeight="1">
      <c r="A45" s="8"/>
      <c r="B45" s="7"/>
      <c r="C45" s="7"/>
      <c r="D45" s="11"/>
    </row>
    <row r="46" ht="15.75" customHeight="1">
      <c r="A46" s="8"/>
      <c r="B46" s="7"/>
      <c r="C46" s="7"/>
      <c r="D46" s="11"/>
    </row>
    <row r="47" ht="15.75" customHeight="1">
      <c r="A47" s="8"/>
      <c r="B47" s="7"/>
      <c r="C47" s="7"/>
      <c r="D47" s="11"/>
    </row>
    <row r="48" ht="15.75" customHeight="1">
      <c r="A48" s="8"/>
      <c r="B48" s="7"/>
      <c r="C48" s="7"/>
      <c r="D48" s="11"/>
    </row>
    <row r="49" ht="15.75" customHeight="1">
      <c r="A49" s="13"/>
      <c r="B49" s="14"/>
      <c r="C49" s="14"/>
      <c r="D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14" width="3.71"/>
    <col customWidth="1" min="15" max="15" width="28.71"/>
    <col customWidth="1" min="16" max="16" width="6.29"/>
    <col customWidth="1" min="17" max="25" width="5.29"/>
    <col customWidth="1" min="26" max="26" width="6.86"/>
    <col customWidth="1" min="27" max="27" width="5.71"/>
    <col customWidth="1" min="28" max="28" width="5.29"/>
    <col customWidth="1" min="29" max="31" width="8.71"/>
  </cols>
  <sheetData>
    <row r="1" ht="13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 t="s">
        <v>21</v>
      </c>
      <c r="AA1" s="18"/>
      <c r="AB1" s="9"/>
      <c r="AC1" s="9"/>
      <c r="AD1" s="9"/>
      <c r="AE1" s="9"/>
    </row>
    <row r="2" ht="13.5" customHeight="1">
      <c r="A2" s="19" t="s">
        <v>22</v>
      </c>
      <c r="O2" s="16"/>
      <c r="P2" s="17" t="s">
        <v>23</v>
      </c>
      <c r="AA2" s="18"/>
      <c r="AB2" s="9"/>
      <c r="AC2" s="9"/>
      <c r="AD2" s="9"/>
      <c r="AE2" s="9"/>
    </row>
    <row r="3" ht="13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20" t="s">
        <v>24</v>
      </c>
      <c r="AA3" s="18"/>
      <c r="AB3" s="9"/>
      <c r="AC3" s="9"/>
      <c r="AD3" s="9"/>
      <c r="AE3" s="9"/>
    </row>
    <row r="4" ht="13.5" customHeight="1">
      <c r="A4" s="21"/>
      <c r="B4" s="22" t="s">
        <v>25</v>
      </c>
      <c r="C4" s="23" t="s">
        <v>26</v>
      </c>
      <c r="D4" s="22" t="s">
        <v>27</v>
      </c>
      <c r="E4" s="22" t="s">
        <v>28</v>
      </c>
      <c r="F4" s="22" t="s">
        <v>29</v>
      </c>
      <c r="G4" s="22" t="s">
        <v>30</v>
      </c>
      <c r="H4" s="22" t="s">
        <v>31</v>
      </c>
      <c r="I4" s="22" t="s">
        <v>32</v>
      </c>
      <c r="J4" s="22" t="s">
        <v>33</v>
      </c>
      <c r="K4" s="22" t="s">
        <v>34</v>
      </c>
      <c r="L4" s="22"/>
      <c r="M4" s="22"/>
      <c r="N4" s="22" t="s">
        <v>35</v>
      </c>
      <c r="O4" s="16"/>
      <c r="P4" s="20" t="s">
        <v>36</v>
      </c>
      <c r="AA4" s="18"/>
      <c r="AB4" s="9"/>
      <c r="AC4" s="9"/>
      <c r="AD4" s="9"/>
      <c r="AE4" s="9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16"/>
      <c r="P5" s="20" t="s">
        <v>37</v>
      </c>
      <c r="AA5" s="18"/>
      <c r="AB5" s="9"/>
      <c r="AC5" s="9"/>
      <c r="AD5" s="9"/>
      <c r="AE5" s="9"/>
    </row>
    <row r="6" ht="13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16"/>
      <c r="P6" s="25" t="s">
        <v>38</v>
      </c>
      <c r="AA6" s="26"/>
      <c r="AB6" s="9"/>
      <c r="AC6" s="9"/>
      <c r="AD6" s="9"/>
      <c r="AE6" s="9"/>
    </row>
    <row r="7" ht="13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6"/>
      <c r="P7" s="27" t="s">
        <v>39</v>
      </c>
      <c r="AA7" s="9"/>
      <c r="AB7" s="9"/>
      <c r="AC7" s="9"/>
      <c r="AD7" s="9"/>
      <c r="AE7" s="9"/>
    </row>
    <row r="8" ht="15.0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16"/>
      <c r="P8" s="29"/>
      <c r="AB8" s="9"/>
      <c r="AC8" s="9"/>
      <c r="AD8" s="9"/>
      <c r="AE8" s="9"/>
    </row>
    <row r="9" ht="13.5" customHeight="1">
      <c r="A9" s="30" t="s">
        <v>40</v>
      </c>
      <c r="B9" s="31">
        <v>10.0</v>
      </c>
      <c r="C9" s="31">
        <v>10.0</v>
      </c>
      <c r="D9" s="31">
        <v>10.0</v>
      </c>
      <c r="E9" s="31">
        <v>10.0</v>
      </c>
      <c r="F9" s="31">
        <v>10.0</v>
      </c>
      <c r="G9" s="31">
        <v>10.0</v>
      </c>
      <c r="H9" s="31">
        <v>10.0</v>
      </c>
      <c r="I9" s="31">
        <v>10.0</v>
      </c>
      <c r="J9" s="31">
        <v>10.0</v>
      </c>
      <c r="K9" s="31">
        <v>10.0</v>
      </c>
      <c r="L9" s="31"/>
      <c r="M9" s="31"/>
      <c r="N9" s="32">
        <f>SUM(B9:M11)</f>
        <v>100</v>
      </c>
      <c r="O9" s="16"/>
      <c r="P9" s="19" t="s">
        <v>41</v>
      </c>
      <c r="AA9" s="33"/>
      <c r="AB9" s="9"/>
      <c r="AC9" s="9"/>
      <c r="AD9" s="9"/>
      <c r="AE9" s="9"/>
    </row>
    <row r="10" ht="13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16"/>
      <c r="P10" s="34"/>
      <c r="AB10" s="9"/>
      <c r="AC10" s="9"/>
      <c r="AD10" s="9"/>
      <c r="AE10" s="9"/>
    </row>
    <row r="11" ht="15.0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16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15.0" customHeight="1">
      <c r="A12" s="30" t="s">
        <v>42</v>
      </c>
      <c r="B12" s="31">
        <f t="shared" ref="B12:K12" si="1">B9-B15</f>
        <v>9</v>
      </c>
      <c r="C12" s="31">
        <f t="shared" si="1"/>
        <v>8</v>
      </c>
      <c r="D12" s="31">
        <f t="shared" si="1"/>
        <v>10</v>
      </c>
      <c r="E12" s="31">
        <f t="shared" si="1"/>
        <v>9</v>
      </c>
      <c r="F12" s="31">
        <f t="shared" si="1"/>
        <v>9</v>
      </c>
      <c r="G12" s="31">
        <f t="shared" si="1"/>
        <v>10</v>
      </c>
      <c r="H12" s="31">
        <f t="shared" si="1"/>
        <v>9</v>
      </c>
      <c r="I12" s="31">
        <f t="shared" si="1"/>
        <v>8</v>
      </c>
      <c r="J12" s="31">
        <f t="shared" si="1"/>
        <v>9</v>
      </c>
      <c r="K12" s="31">
        <f t="shared" si="1"/>
        <v>9</v>
      </c>
      <c r="L12" s="31"/>
      <c r="M12" s="31"/>
      <c r="N12" s="32">
        <f>SUM(B12:M14)</f>
        <v>90</v>
      </c>
      <c r="O12" s="16"/>
      <c r="P12" s="16" t="s">
        <v>43</v>
      </c>
      <c r="Q12" s="35" t="s">
        <v>12</v>
      </c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9"/>
      <c r="AC12" s="9"/>
      <c r="AD12" s="9"/>
      <c r="AE12" s="9"/>
    </row>
    <row r="13" ht="15.0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6"/>
      <c r="P13" s="16" t="s">
        <v>44</v>
      </c>
      <c r="Q13" s="38">
        <f>VLOOKUP(Q12,'Class Info'!A3:D49,COLUMN('Class Info'!D:D)-COLUMN('Class Info'!A3:D49)+1,0)</f>
        <v>10</v>
      </c>
      <c r="R13" s="38"/>
      <c r="S13" s="39"/>
      <c r="T13" s="16" t="s">
        <v>45</v>
      </c>
      <c r="U13" s="38" t="str">
        <f>VLOOKUP(Q12,'Class Info'!A3:D49,COLUMN('Class Info'!C:C)-COLUMN('Class Info'!A3:D49)+1,0)</f>
        <v>MALE</v>
      </c>
      <c r="V13" s="40"/>
      <c r="W13" s="16" t="s">
        <v>46</v>
      </c>
      <c r="X13" s="41" t="str">
        <f>VLOOKUP(Q12,'Class Info'!A3:D49,COLUMN('Class Info'!B:B)-COLUMN('Class Info'!A3:D49)+1,0)</f>
        <v>123456789012</v>
      </c>
      <c r="Y13" s="36"/>
      <c r="Z13" s="36"/>
      <c r="AA13" s="42"/>
      <c r="AB13" s="9"/>
      <c r="AC13" s="9"/>
      <c r="AD13" s="9"/>
      <c r="AE13" s="9"/>
    </row>
    <row r="14" ht="15.0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16"/>
      <c r="P14" s="16" t="s">
        <v>47</v>
      </c>
      <c r="Q14" s="43"/>
      <c r="R14" s="44" t="s">
        <v>48</v>
      </c>
      <c r="S14" s="45"/>
      <c r="T14" s="46" t="s">
        <v>49</v>
      </c>
      <c r="V14" s="47" t="s">
        <v>50</v>
      </c>
      <c r="W14" s="36"/>
      <c r="X14" s="36"/>
      <c r="Y14" s="36"/>
      <c r="Z14" s="36"/>
      <c r="AA14" s="48"/>
      <c r="AB14" s="9"/>
      <c r="AC14" s="9"/>
      <c r="AD14" s="9"/>
      <c r="AE14" s="9"/>
    </row>
    <row r="15" ht="15.0" customHeight="1">
      <c r="A15" s="49" t="s">
        <v>51</v>
      </c>
      <c r="B15" s="31">
        <v>1.0</v>
      </c>
      <c r="C15" s="31">
        <v>2.0</v>
      </c>
      <c r="D15" s="31">
        <v>0.0</v>
      </c>
      <c r="E15" s="31">
        <v>1.0</v>
      </c>
      <c r="F15" s="31">
        <v>1.0</v>
      </c>
      <c r="G15" s="31">
        <v>0.0</v>
      </c>
      <c r="H15" s="31">
        <v>1.0</v>
      </c>
      <c r="I15" s="31">
        <v>2.0</v>
      </c>
      <c r="J15" s="31">
        <v>1.0</v>
      </c>
      <c r="K15" s="31">
        <v>1.0</v>
      </c>
      <c r="L15" s="31"/>
      <c r="M15" s="31"/>
      <c r="N15" s="50">
        <f>SUM(B15:M17)</f>
        <v>10</v>
      </c>
      <c r="O15" s="16"/>
      <c r="P15" s="51" t="s">
        <v>52</v>
      </c>
      <c r="Q15" s="51"/>
      <c r="R15" s="52" t="s">
        <v>53</v>
      </c>
      <c r="S15" s="36"/>
      <c r="T15" s="36"/>
      <c r="U15" s="36"/>
      <c r="V15" s="16"/>
      <c r="W15" s="16"/>
      <c r="X15" s="16"/>
      <c r="Y15" s="16"/>
      <c r="Z15" s="16"/>
      <c r="AA15" s="16"/>
      <c r="AB15" s="9"/>
      <c r="AC15" s="9"/>
      <c r="AD15" s="9"/>
      <c r="AE15" s="9"/>
    </row>
    <row r="16" ht="13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6"/>
      <c r="P16" s="53"/>
      <c r="Q16" s="54"/>
      <c r="R16" s="54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9"/>
      <c r="AD16" s="9"/>
      <c r="AE16" s="9"/>
    </row>
    <row r="17" ht="13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16"/>
      <c r="P17" s="54" t="s">
        <v>54</v>
      </c>
      <c r="Q17" s="51"/>
      <c r="R17" s="51"/>
      <c r="S17" s="16"/>
      <c r="T17" s="16"/>
      <c r="U17" s="16"/>
      <c r="V17" s="16"/>
      <c r="W17" s="16"/>
      <c r="X17" s="16"/>
      <c r="Y17" s="16"/>
      <c r="Z17" s="16"/>
      <c r="AA17" s="16"/>
      <c r="AB17" s="56"/>
      <c r="AC17" s="9"/>
      <c r="AD17" s="9"/>
      <c r="AE17" s="9"/>
    </row>
    <row r="18" ht="13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53"/>
      <c r="Q18" s="54" t="s">
        <v>55</v>
      </c>
      <c r="R18" s="54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9"/>
      <c r="AD18" s="9"/>
      <c r="AE18" s="9"/>
    </row>
    <row r="19" ht="13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54" t="s">
        <v>56</v>
      </c>
      <c r="Q19" s="53"/>
      <c r="R19" s="54"/>
      <c r="S19" s="57"/>
      <c r="T19" s="57"/>
      <c r="U19" s="57"/>
      <c r="V19" s="57"/>
      <c r="W19" s="57"/>
      <c r="X19" s="57"/>
      <c r="Y19" s="57"/>
      <c r="Z19" s="57"/>
      <c r="AA19" s="57"/>
      <c r="AB19" s="56"/>
      <c r="AC19" s="9"/>
      <c r="AD19" s="9"/>
      <c r="AE19" s="9"/>
    </row>
    <row r="20" ht="13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53"/>
      <c r="Q20" s="54" t="s">
        <v>57</v>
      </c>
      <c r="R20" s="54"/>
      <c r="S20" s="57"/>
      <c r="T20" s="57"/>
      <c r="U20" s="57"/>
      <c r="V20" s="57"/>
      <c r="W20" s="57"/>
      <c r="X20" s="57"/>
      <c r="Y20" s="57"/>
      <c r="Z20" s="57"/>
      <c r="AA20" s="57"/>
      <c r="AB20" s="56"/>
      <c r="AC20" s="9"/>
      <c r="AD20" s="9"/>
      <c r="AE20" s="9"/>
    </row>
    <row r="21" ht="13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54" t="s">
        <v>58</v>
      </c>
      <c r="Q21" s="53"/>
      <c r="R21" s="54"/>
      <c r="S21" s="57"/>
      <c r="T21" s="57"/>
      <c r="U21" s="57"/>
      <c r="V21" s="57"/>
      <c r="W21" s="57"/>
      <c r="X21" s="57"/>
      <c r="Y21" s="57"/>
      <c r="Z21" s="57"/>
      <c r="AA21" s="57"/>
      <c r="AB21" s="9"/>
      <c r="AC21" s="9"/>
      <c r="AD21" s="9"/>
      <c r="AE21" s="9"/>
    </row>
    <row r="22" ht="13.5" customHeight="1">
      <c r="A22" s="29" t="s">
        <v>59</v>
      </c>
      <c r="O22" s="16"/>
      <c r="P22" s="9"/>
      <c r="Q22" s="57"/>
      <c r="R22" s="57"/>
      <c r="S22" s="57"/>
      <c r="T22" s="57"/>
      <c r="U22" s="57"/>
      <c r="V22" s="58" t="s">
        <v>60</v>
      </c>
      <c r="AA22" s="59"/>
      <c r="AB22" s="9"/>
      <c r="AC22" s="9"/>
      <c r="AD22" s="9"/>
      <c r="AE22" s="9"/>
    </row>
    <row r="23" ht="6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60"/>
      <c r="R23" s="60"/>
      <c r="S23" s="60"/>
      <c r="T23" s="60"/>
      <c r="U23" s="60"/>
      <c r="V23" s="36"/>
      <c r="W23" s="36"/>
      <c r="X23" s="36"/>
      <c r="Y23" s="36"/>
      <c r="Z23" s="36"/>
      <c r="AA23" s="59"/>
      <c r="AB23" s="9"/>
      <c r="AC23" s="9"/>
      <c r="AD23" s="9"/>
      <c r="AE23" s="9"/>
    </row>
    <row r="24" ht="13.5" customHeight="1">
      <c r="A24" s="61" t="s">
        <v>61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6"/>
      <c r="P24" s="9"/>
      <c r="Q24" s="9"/>
      <c r="R24" s="9"/>
      <c r="S24" s="9"/>
      <c r="T24" s="9"/>
      <c r="U24" s="62"/>
      <c r="V24" s="63" t="s">
        <v>62</v>
      </c>
      <c r="AA24" s="62"/>
      <c r="AB24" s="9"/>
      <c r="AC24" s="9"/>
      <c r="AD24" s="9"/>
      <c r="AE24" s="9"/>
    </row>
    <row r="25" ht="13.5" customHeight="1">
      <c r="A25" s="62"/>
      <c r="B25" s="62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55"/>
      <c r="Q25" s="64" t="s">
        <v>63</v>
      </c>
      <c r="R25" s="36"/>
      <c r="S25" s="36"/>
      <c r="T25" s="36"/>
      <c r="U25" s="36"/>
      <c r="V25" s="62"/>
      <c r="W25" s="9"/>
      <c r="X25" s="9"/>
      <c r="Y25" s="9"/>
      <c r="Z25" s="9"/>
      <c r="AA25" s="9"/>
      <c r="AB25" s="9"/>
      <c r="AC25" s="9"/>
      <c r="AD25" s="9"/>
      <c r="AE25" s="9"/>
    </row>
    <row r="26" ht="13.5" customHeight="1">
      <c r="A26" s="61" t="s">
        <v>64</v>
      </c>
      <c r="B26" s="5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16"/>
      <c r="P26" s="62"/>
      <c r="Q26" s="63" t="s">
        <v>65</v>
      </c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3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6"/>
      <c r="Y27" s="6"/>
      <c r="Z27" s="6"/>
      <c r="AA27" s="6"/>
      <c r="AB27" s="6"/>
      <c r="AC27" s="6"/>
      <c r="AD27" s="6"/>
      <c r="AE27" s="6"/>
    </row>
    <row r="28" ht="13.5" customHeight="1">
      <c r="A28" s="61" t="s">
        <v>66</v>
      </c>
      <c r="B28" s="16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16"/>
      <c r="P28" s="65" t="s">
        <v>67</v>
      </c>
      <c r="AB28" s="9"/>
      <c r="AC28" s="9"/>
      <c r="AD28" s="9"/>
      <c r="AE28" s="9"/>
    </row>
    <row r="29" ht="13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66"/>
      <c r="P29" s="62" t="s">
        <v>68</v>
      </c>
      <c r="Q29" s="9"/>
      <c r="R29" s="9"/>
      <c r="S29" s="67"/>
      <c r="T29" s="68" t="s">
        <v>48</v>
      </c>
      <c r="U29" s="68"/>
      <c r="V29" s="69"/>
      <c r="W29" s="70" t="s">
        <v>69</v>
      </c>
      <c r="Y29" s="71" t="s">
        <v>50</v>
      </c>
      <c r="Z29" s="36"/>
      <c r="AA29" s="62"/>
      <c r="AB29" s="9"/>
      <c r="AC29" s="9"/>
      <c r="AD29" s="9"/>
      <c r="AE29" s="9"/>
    </row>
    <row r="30" ht="13.5" customHeight="1">
      <c r="A30" s="61" t="s">
        <v>70</v>
      </c>
      <c r="B30" s="1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16"/>
      <c r="P30" s="62" t="s">
        <v>71</v>
      </c>
      <c r="Q30" s="62"/>
      <c r="R30" s="62"/>
      <c r="S30" s="62"/>
      <c r="T30" s="62"/>
      <c r="U30" s="62"/>
      <c r="V30" s="72"/>
      <c r="W30" s="36"/>
      <c r="X30" s="36"/>
      <c r="Y30" s="36"/>
      <c r="Z30" s="36"/>
      <c r="AA30" s="62"/>
      <c r="AB30" s="9"/>
      <c r="AC30" s="9"/>
      <c r="AD30" s="9"/>
      <c r="AE30" s="9"/>
    </row>
    <row r="31" ht="13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9"/>
      <c r="AC31" s="9"/>
      <c r="AD31" s="9"/>
      <c r="AE31" s="9"/>
    </row>
    <row r="32" ht="9.0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58" t="s">
        <v>60</v>
      </c>
      <c r="AA32" s="59"/>
      <c r="AB32" s="9"/>
      <c r="AC32" s="9"/>
      <c r="AD32" s="9"/>
      <c r="AE32" s="9"/>
    </row>
    <row r="33" ht="9.0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9"/>
      <c r="R33" s="9"/>
      <c r="S33" s="9"/>
      <c r="T33" s="9"/>
      <c r="U33" s="16"/>
      <c r="V33" s="36"/>
      <c r="W33" s="36"/>
      <c r="X33" s="36"/>
      <c r="Y33" s="36"/>
      <c r="Z33" s="36"/>
      <c r="AA33" s="59"/>
      <c r="AB33" s="9"/>
      <c r="AC33" s="9"/>
      <c r="AD33" s="9"/>
      <c r="AE33" s="9"/>
    </row>
    <row r="34" ht="15.0" customHeight="1">
      <c r="A34" s="7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74" t="s">
        <v>72</v>
      </c>
      <c r="Q34" s="9"/>
      <c r="R34" s="9"/>
      <c r="S34" s="9"/>
      <c r="T34" s="9"/>
      <c r="U34" s="16"/>
      <c r="V34" s="63" t="s">
        <v>62</v>
      </c>
      <c r="AA34" s="62"/>
      <c r="AB34" s="9"/>
      <c r="AC34" s="9"/>
      <c r="AD34" s="9"/>
      <c r="AE34" s="9"/>
    </row>
    <row r="35" ht="13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55"/>
      <c r="Q35" s="64" t="s">
        <v>73</v>
      </c>
      <c r="R35" s="36"/>
      <c r="S35" s="36"/>
      <c r="T35" s="36"/>
      <c r="U35" s="36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0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62"/>
      <c r="Q36" s="63" t="s">
        <v>65</v>
      </c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9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63"/>
      <c r="Q37" s="63"/>
      <c r="R37" s="63"/>
      <c r="S37" s="63"/>
      <c r="T37" s="63"/>
      <c r="U37" s="63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65" t="s">
        <v>74</v>
      </c>
      <c r="AB38" s="9"/>
      <c r="AC38" s="9"/>
      <c r="AD38" s="9"/>
      <c r="AE38" s="9"/>
    </row>
    <row r="39" ht="13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 t="s">
        <v>75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9"/>
      <c r="AC39" s="9"/>
      <c r="AD39" s="9"/>
      <c r="AE39" s="9"/>
    </row>
    <row r="40" ht="13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75"/>
      <c r="P40" s="16" t="s">
        <v>76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9"/>
      <c r="AC40" s="9"/>
      <c r="AD40" s="9"/>
      <c r="AE40" s="9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75"/>
      <c r="P41" s="16"/>
      <c r="Q41" s="16"/>
      <c r="R41" s="16"/>
      <c r="S41" s="16"/>
      <c r="T41" s="16"/>
      <c r="U41" s="16"/>
      <c r="V41" s="76"/>
      <c r="W41" s="36"/>
      <c r="X41" s="36"/>
      <c r="Y41" s="36"/>
      <c r="Z41" s="36"/>
      <c r="AA41" s="77"/>
      <c r="AB41" s="9"/>
      <c r="AC41" s="9"/>
      <c r="AD41" s="9"/>
      <c r="AE41" s="9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16"/>
      <c r="Q42" s="16"/>
      <c r="R42" s="16"/>
      <c r="S42" s="16"/>
      <c r="T42" s="16"/>
      <c r="U42" s="16"/>
      <c r="V42" s="78" t="s">
        <v>65</v>
      </c>
      <c r="AB42" s="9"/>
      <c r="AC42" s="9"/>
      <c r="AD42" s="9"/>
      <c r="AE42" s="9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mergeCells count="90">
    <mergeCell ref="D4:D8"/>
    <mergeCell ref="E4:E8"/>
    <mergeCell ref="F4:F8"/>
    <mergeCell ref="G4:G8"/>
    <mergeCell ref="H4:H8"/>
    <mergeCell ref="I4:I8"/>
    <mergeCell ref="J4:J8"/>
    <mergeCell ref="K4:K8"/>
    <mergeCell ref="L4:L8"/>
    <mergeCell ref="M4:M8"/>
    <mergeCell ref="P3:Z3"/>
    <mergeCell ref="P4:Z4"/>
    <mergeCell ref="P7:Z7"/>
    <mergeCell ref="P8:AA8"/>
    <mergeCell ref="H15:H17"/>
    <mergeCell ref="I15:I17"/>
    <mergeCell ref="J15:J17"/>
    <mergeCell ref="K15:K17"/>
    <mergeCell ref="L15:L17"/>
    <mergeCell ref="M15:M17"/>
    <mergeCell ref="N15:N17"/>
    <mergeCell ref="R15:U15"/>
    <mergeCell ref="A15:A17"/>
    <mergeCell ref="B15:B17"/>
    <mergeCell ref="C15:C17"/>
    <mergeCell ref="D15:D17"/>
    <mergeCell ref="E15:E17"/>
    <mergeCell ref="F15:F17"/>
    <mergeCell ref="G15:G17"/>
    <mergeCell ref="A22:N22"/>
    <mergeCell ref="V22:Z23"/>
    <mergeCell ref="A24:B24"/>
    <mergeCell ref="V24:Z24"/>
    <mergeCell ref="Q25:U25"/>
    <mergeCell ref="Q26:U26"/>
    <mergeCell ref="P28:AA28"/>
    <mergeCell ref="V34:Z34"/>
    <mergeCell ref="V41:Z41"/>
    <mergeCell ref="V42:AA42"/>
    <mergeCell ref="W29:X29"/>
    <mergeCell ref="Y29:Z29"/>
    <mergeCell ref="V30:Z30"/>
    <mergeCell ref="V32:Z33"/>
    <mergeCell ref="Q35:U35"/>
    <mergeCell ref="Q36:U36"/>
    <mergeCell ref="P38:AA38"/>
    <mergeCell ref="P5:Z5"/>
    <mergeCell ref="P6:Z6"/>
    <mergeCell ref="H9:H11"/>
    <mergeCell ref="I9:I11"/>
    <mergeCell ref="J9:J11"/>
    <mergeCell ref="K9:K11"/>
    <mergeCell ref="L9:L11"/>
    <mergeCell ref="M9:M11"/>
    <mergeCell ref="N9:N11"/>
    <mergeCell ref="P9:Z9"/>
    <mergeCell ref="P10:AA10"/>
    <mergeCell ref="Q12:Z12"/>
    <mergeCell ref="U13:V13"/>
    <mergeCell ref="X13:Z13"/>
    <mergeCell ref="T14:U14"/>
    <mergeCell ref="V14:Z14"/>
    <mergeCell ref="P1:Z1"/>
    <mergeCell ref="A2:N2"/>
    <mergeCell ref="P2:Z2"/>
    <mergeCell ref="A4:A8"/>
    <mergeCell ref="B4:B8"/>
    <mergeCell ref="C4:C8"/>
    <mergeCell ref="N4:N8"/>
    <mergeCell ref="A9:A11"/>
    <mergeCell ref="B9:B11"/>
    <mergeCell ref="C9:C11"/>
    <mergeCell ref="D9:D11"/>
    <mergeCell ref="E9:E11"/>
    <mergeCell ref="F9:F11"/>
    <mergeCell ref="G9:G11"/>
    <mergeCell ref="H12:H14"/>
    <mergeCell ref="I12:I14"/>
    <mergeCell ref="J12:J14"/>
    <mergeCell ref="K12:K14"/>
    <mergeCell ref="L12:L14"/>
    <mergeCell ref="M12:M14"/>
    <mergeCell ref="N12:N14"/>
    <mergeCell ref="A12:A14"/>
    <mergeCell ref="B12:B14"/>
    <mergeCell ref="C12:C14"/>
    <mergeCell ref="D12:D14"/>
    <mergeCell ref="E12:E14"/>
    <mergeCell ref="F12:F14"/>
    <mergeCell ref="G12:G14"/>
  </mergeCells>
  <dataValidations>
    <dataValidation type="list" allowBlank="1" showErrorMessage="1" sqref="Q12">
      <formula1>'Class Info'!$A$3:$A$49</formula1>
    </dataValidation>
  </dataValidations>
  <printOptions verticalCentered="1"/>
  <pageMargins bottom="0.5905511811023623" footer="0.0" header="0.0" left="0.5118110236220472" right="0.0" top="0.5905511811023623"/>
  <pageSetup paperSize="9" orientation="landscape"/>
  <headerFooter>
    <oddHeader>&amp;C00+000                                                  DepEd School Form 9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5" width="6.71"/>
    <col customWidth="1" min="6" max="6" width="9.29"/>
    <col customWidth="1" min="7" max="7" width="10.0"/>
    <col customWidth="1" min="8" max="8" width="8.14"/>
    <col customWidth="1" min="9" max="10" width="6.29"/>
    <col customWidth="1" min="11" max="15" width="5.29"/>
    <col customWidth="1" min="16" max="19" width="6.29"/>
    <col customWidth="1" min="20" max="20" width="5.71"/>
    <col customWidth="1" min="21" max="21" width="23.86"/>
    <col customWidth="1" min="22" max="26" width="9.0"/>
  </cols>
  <sheetData>
    <row r="1" ht="15.0" customHeight="1">
      <c r="A1" s="65" t="s">
        <v>77</v>
      </c>
      <c r="H1" s="79"/>
      <c r="I1" s="65" t="s">
        <v>78</v>
      </c>
    </row>
    <row r="2" ht="15.0" customHeight="1">
      <c r="A2" s="80"/>
      <c r="H2" s="7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0" customHeight="1">
      <c r="A3" s="81" t="s">
        <v>79</v>
      </c>
      <c r="B3" s="82" t="s">
        <v>80</v>
      </c>
      <c r="C3" s="40"/>
      <c r="D3" s="40"/>
      <c r="E3" s="83"/>
      <c r="F3" s="84" t="s">
        <v>81</v>
      </c>
      <c r="G3" s="81" t="s">
        <v>82</v>
      </c>
      <c r="H3" s="79"/>
      <c r="I3" s="85" t="s">
        <v>83</v>
      </c>
      <c r="J3" s="86"/>
      <c r="K3" s="87" t="s">
        <v>84</v>
      </c>
      <c r="L3" s="88"/>
      <c r="M3" s="88"/>
      <c r="N3" s="88"/>
      <c r="O3" s="86"/>
      <c r="P3" s="82" t="s">
        <v>80</v>
      </c>
      <c r="Q3" s="40"/>
      <c r="R3" s="40"/>
      <c r="S3" s="83"/>
    </row>
    <row r="4" ht="15.75" customHeight="1">
      <c r="A4" s="28"/>
      <c r="B4" s="89">
        <v>1.0</v>
      </c>
      <c r="C4" s="89">
        <v>2.0</v>
      </c>
      <c r="D4" s="89">
        <v>3.0</v>
      </c>
      <c r="E4" s="89">
        <v>4.0</v>
      </c>
      <c r="F4" s="90" t="s">
        <v>85</v>
      </c>
      <c r="G4" s="28"/>
      <c r="H4" s="79"/>
      <c r="I4" s="91"/>
      <c r="J4" s="92"/>
      <c r="K4" s="91"/>
      <c r="L4" s="36"/>
      <c r="M4" s="36"/>
      <c r="N4" s="36"/>
      <c r="O4" s="92"/>
      <c r="P4" s="89">
        <v>1.0</v>
      </c>
      <c r="Q4" s="89">
        <v>2.0</v>
      </c>
      <c r="R4" s="89">
        <v>3.0</v>
      </c>
      <c r="S4" s="89">
        <v>4.0</v>
      </c>
    </row>
    <row r="5" ht="12.75" customHeight="1">
      <c r="A5" s="93" t="s">
        <v>86</v>
      </c>
      <c r="B5" s="94">
        <f>VLOOKUP(U5,'QUARTER 1 GRADES'!B3:O53,COLUMN('QUARTER 1 GRADES'!G:G)-COLUMN('QUARTER 1 GRADES'!B3:R53)+1,0)</f>
        <v>77</v>
      </c>
      <c r="C5" s="95">
        <f>VLOOKUP(U5,'QUARTER 2 GRADES'!B3:O54,COLUMN('QUARTER 2 GRADES'!G:G)-COLUMN('QUARTER 2 GRADES'!B3:Q54)+1,0)</f>
        <v>78</v>
      </c>
      <c r="D5" s="95">
        <f>VLOOKUP(U5,'QUARTER 3 GRADES'!B3:O53,COLUMN('QUARTER 3 GRADES'!G:G)-COLUMN('QUARTER 3 GRADES'!B3:R53)+1,0)</f>
        <v>84</v>
      </c>
      <c r="E5" s="95">
        <f>VLOOKUP(U5,'QUARTER 4 GRADES'!B3:O53,COLUMN('QUARTER 4 GRADES'!G:G)-COLUMN('QUARTER 4 GRADES'!B3:Q53)+1,0)</f>
        <v>84</v>
      </c>
      <c r="F5" s="95">
        <f>ROUND(AVERAGE(B5:E6),0)</f>
        <v>81</v>
      </c>
      <c r="G5" s="96" t="s">
        <v>87</v>
      </c>
      <c r="H5" s="79"/>
      <c r="I5" s="97"/>
      <c r="J5" s="98"/>
      <c r="K5" s="99" t="s">
        <v>88</v>
      </c>
      <c r="L5" s="88"/>
      <c r="M5" s="88"/>
      <c r="N5" s="88"/>
      <c r="O5" s="86"/>
      <c r="P5" s="96" t="s">
        <v>89</v>
      </c>
      <c r="Q5" s="96" t="str">
        <f t="shared" ref="Q5:S5" si="1">P5</f>
        <v>AO</v>
      </c>
      <c r="R5" s="96" t="str">
        <f t="shared" si="1"/>
        <v>AO</v>
      </c>
      <c r="S5" s="96" t="str">
        <f t="shared" si="1"/>
        <v>AO</v>
      </c>
      <c r="U5" s="100" t="s">
        <v>14</v>
      </c>
    </row>
    <row r="6" ht="12.75" customHeight="1">
      <c r="A6" s="28"/>
      <c r="B6" s="28"/>
      <c r="C6" s="28"/>
      <c r="D6" s="28"/>
      <c r="E6" s="28"/>
      <c r="F6" s="28"/>
      <c r="G6" s="28"/>
      <c r="H6" s="79"/>
      <c r="I6" s="101"/>
      <c r="J6" s="102"/>
      <c r="O6" s="103"/>
      <c r="P6" s="24"/>
      <c r="Q6" s="24"/>
      <c r="R6" s="24"/>
      <c r="S6" s="24"/>
    </row>
    <row r="7" ht="12.75" customHeight="1">
      <c r="A7" s="104" t="s">
        <v>90</v>
      </c>
      <c r="B7" s="94">
        <f>VLOOKUP(U5,'QUARTER 1 GRADES'!B3:O53,COLUMN('QUARTER 1 GRADES'!D:D)-COLUMN('QUARTER 1 GRADES'!B3:R53)+1,0)</f>
        <v>78</v>
      </c>
      <c r="C7" s="95">
        <f>VLOOKUP(U5,'QUARTER 2 GRADES'!B3:O54,COLUMN('QUARTER 2 GRADES'!D:D)-COLUMN('QUARTER 2 GRADES'!B3:Q54)+1,0)</f>
        <v>80</v>
      </c>
      <c r="D7" s="95">
        <f>VLOOKUP(U5,'QUARTER 3 GRADES'!B3:O53,COLUMN('QUARTER 2 GRADES'!D:D)-COLUMN('QUARTER 3 GRADES'!B3:R53)+1,0)</f>
        <v>80</v>
      </c>
      <c r="E7" s="95">
        <f>VLOOKUP(U5,'QUARTER 4 GRADES'!B3:O53,COLUMN('QUARTER 4 GRADES'!D:D)-COLUMN('QUARTER 4 GRADES'!B3:Q53)+1,0)</f>
        <v>80</v>
      </c>
      <c r="F7" s="95">
        <f>ROUND(AVERAGE(B7:E8),0)</f>
        <v>80</v>
      </c>
      <c r="G7" s="96" t="s">
        <v>87</v>
      </c>
      <c r="H7" s="79"/>
      <c r="I7" s="105" t="s">
        <v>91</v>
      </c>
      <c r="J7" s="103"/>
      <c r="O7" s="103"/>
      <c r="P7" s="24"/>
      <c r="Q7" s="24"/>
      <c r="R7" s="24"/>
      <c r="S7" s="24"/>
    </row>
    <row r="8" ht="12.75" customHeight="1">
      <c r="A8" s="28"/>
      <c r="B8" s="28"/>
      <c r="C8" s="28"/>
      <c r="D8" s="28"/>
      <c r="E8" s="28"/>
      <c r="F8" s="28"/>
      <c r="G8" s="28"/>
      <c r="H8" s="79"/>
      <c r="I8" s="101" t="s">
        <v>92</v>
      </c>
      <c r="J8" s="102"/>
      <c r="K8" s="36"/>
      <c r="L8" s="36"/>
      <c r="M8" s="36"/>
      <c r="N8" s="36"/>
      <c r="O8" s="92"/>
      <c r="P8" s="28"/>
      <c r="Q8" s="28"/>
      <c r="R8" s="28"/>
      <c r="S8" s="28"/>
    </row>
    <row r="9" ht="12.75" customHeight="1">
      <c r="A9" s="104" t="s">
        <v>93</v>
      </c>
      <c r="B9" s="106">
        <f>VLOOKUP(U5,'QUARTER 1 GRADES'!B3:O53,COLUMN('QUARTER 1 GRADES'!E:E)-COLUMN('QUARTER 1 GRADES'!B3:R53)+1,0)</f>
        <v>79</v>
      </c>
      <c r="C9" s="107">
        <f>VLOOKUP(U5,'QUARTER 2 GRADES'!B3:O54,COLUMN('QUARTER 2 GRADES'!E:E)-COLUMN('QUARTER 2 GRADES'!B3:Q54)+1,0)</f>
        <v>80</v>
      </c>
      <c r="D9" s="107">
        <f>VLOOKUP(U5,'QUARTER 3 GRADES'!B3:O53,COLUMN('QUARTER 2 GRADES'!E:E)-COLUMN('QUARTER 3 GRADES'!B3:R53)+1,0)</f>
        <v>78</v>
      </c>
      <c r="E9" s="107">
        <f>VLOOKUP(U5,'QUARTER 4 GRADES'!B3:O53,COLUMN('QUARTER 4 GRADES'!E:E)-COLUMN('QUARTER 4 GRADES'!B3:Q53)+1,0)</f>
        <v>81</v>
      </c>
      <c r="F9" s="95">
        <f>ROUND(AVERAGE(B9:E10),0)</f>
        <v>80</v>
      </c>
      <c r="G9" s="96" t="s">
        <v>87</v>
      </c>
      <c r="H9" s="79"/>
      <c r="I9" s="101"/>
      <c r="J9" s="102"/>
      <c r="K9" s="99" t="s">
        <v>94</v>
      </c>
      <c r="L9" s="88"/>
      <c r="M9" s="88"/>
      <c r="N9" s="88"/>
      <c r="O9" s="86"/>
      <c r="P9" s="96" t="str">
        <f>P5</f>
        <v>AO</v>
      </c>
      <c r="Q9" s="96" t="str">
        <f t="shared" ref="Q9:S9" si="2">$Q$5</f>
        <v>AO</v>
      </c>
      <c r="R9" s="96" t="str">
        <f t="shared" si="2"/>
        <v>AO</v>
      </c>
      <c r="S9" s="96" t="str">
        <f t="shared" si="2"/>
        <v>AO</v>
      </c>
    </row>
    <row r="10" ht="12.75" customHeight="1">
      <c r="A10" s="28"/>
      <c r="B10" s="28"/>
      <c r="C10" s="28"/>
      <c r="D10" s="28"/>
      <c r="E10" s="28"/>
      <c r="F10" s="28"/>
      <c r="G10" s="28"/>
      <c r="H10" s="79"/>
      <c r="I10" s="101"/>
      <c r="J10" s="102"/>
      <c r="O10" s="103"/>
      <c r="P10" s="24"/>
      <c r="Q10" s="24"/>
      <c r="R10" s="24"/>
      <c r="S10" s="24"/>
    </row>
    <row r="11" ht="12.75" customHeight="1">
      <c r="A11" s="104" t="s">
        <v>95</v>
      </c>
      <c r="B11" s="106">
        <f>VLOOKUP(U5,'QUARTER 1 GRADES'!B3:O53,COLUMN('QUARTER 1 GRADES'!F:F)-COLUMN('QUARTER 1 GRADES'!B3:R53)+1,0)</f>
        <v>77</v>
      </c>
      <c r="C11" s="107">
        <f>VLOOKUP(U5,'QUARTER 2 GRADES'!B3:O54,COLUMN('QUARTER 2 GRADES'!F:F)-COLUMN('QUARTER 2 GRADES'!B3:Q54)+1,0)</f>
        <v>80</v>
      </c>
      <c r="D11" s="107">
        <f>VLOOKUP(U5,'QUARTER 3 GRADES'!B3:O53,COLUMN('QUARTER 2 GRADES'!F:F)-COLUMN('QUARTER 3 GRADES'!B3:R53)+1,0)</f>
        <v>77</v>
      </c>
      <c r="E11" s="107">
        <f>VLOOKUP(U5,'QUARTER 4 GRADES'!B3:O53,COLUMN('QUARTER 4 GRADES'!F:F)-COLUMN('QUARTER 4 GRADES'!B3:Q53)+1,0)</f>
        <v>81</v>
      </c>
      <c r="F11" s="95">
        <f>ROUND(AVERAGE(B11:E12),0)</f>
        <v>79</v>
      </c>
      <c r="G11" s="96" t="s">
        <v>87</v>
      </c>
      <c r="H11" s="79"/>
      <c r="I11" s="108"/>
      <c r="J11" s="109"/>
      <c r="K11" s="36"/>
      <c r="L11" s="36"/>
      <c r="M11" s="36"/>
      <c r="N11" s="36"/>
      <c r="O11" s="92"/>
      <c r="P11" s="28"/>
      <c r="Q11" s="28"/>
      <c r="R11" s="28"/>
      <c r="S11" s="28"/>
    </row>
    <row r="12" ht="12.75" customHeight="1">
      <c r="A12" s="28"/>
      <c r="B12" s="28"/>
      <c r="C12" s="28"/>
      <c r="D12" s="28"/>
      <c r="E12" s="28"/>
      <c r="F12" s="28"/>
      <c r="G12" s="28"/>
      <c r="H12" s="79"/>
      <c r="I12" s="110" t="s">
        <v>96</v>
      </c>
      <c r="J12" s="86"/>
      <c r="K12" s="111" t="s">
        <v>97</v>
      </c>
      <c r="L12" s="88"/>
      <c r="M12" s="88"/>
      <c r="N12" s="88"/>
      <c r="O12" s="86"/>
      <c r="P12" s="96" t="str">
        <f>$P$5</f>
        <v>AO</v>
      </c>
      <c r="Q12" s="96" t="str">
        <f t="shared" ref="Q12:S12" si="3">$Q$5</f>
        <v>AO</v>
      </c>
      <c r="R12" s="96" t="str">
        <f t="shared" si="3"/>
        <v>AO</v>
      </c>
      <c r="S12" s="96" t="str">
        <f t="shared" si="3"/>
        <v>AO</v>
      </c>
    </row>
    <row r="13" ht="12.75" customHeight="1">
      <c r="A13" s="112" t="s">
        <v>98</v>
      </c>
      <c r="B13" s="106">
        <f>VLOOKUP(U5,'QUARTER 1 GRADES'!B3:O53,COLUMN('QUARTER 1 GRADES'!C:C)-COLUMN('QUARTER 1 GRADES'!B3:R53)+1,0)</f>
        <v>81</v>
      </c>
      <c r="C13" s="107">
        <f>VLOOKUP(U5,'QUARTER 2 GRADES'!B3:O54,COLUMN('QUARTER 2 GRADES'!C:C)-COLUMN('QUARTER 2 GRADES'!B3:Q54)+1,0)</f>
        <v>84</v>
      </c>
      <c r="D13" s="107">
        <f>VLOOKUP(U5,'QUARTER 3 GRADES'!B3:O53,COLUMN('QUARTER 2 GRADES'!C:C)-COLUMN('QUARTER 3 GRADES'!B3:R53)+1,0)</f>
        <v>85</v>
      </c>
      <c r="E13" s="107">
        <f>VLOOKUP(U5,'QUARTER 4 GRADES'!B3:O53,COLUMN('QUARTER 4 GRADES'!C:C)-COLUMN('QUARTER 4 GRADES'!B3:Q53)+1,0)</f>
        <v>87</v>
      </c>
      <c r="F13" s="107">
        <f>ROUND(AVERAGE(B13:E15),0)</f>
        <v>84</v>
      </c>
      <c r="G13" s="113" t="s">
        <v>87</v>
      </c>
      <c r="H13" s="79"/>
      <c r="I13" s="114"/>
      <c r="J13" s="103"/>
      <c r="K13" s="114"/>
      <c r="O13" s="103"/>
      <c r="P13" s="24"/>
      <c r="Q13" s="24"/>
      <c r="R13" s="24"/>
      <c r="S13" s="24"/>
    </row>
    <row r="14" ht="17.25" customHeight="1">
      <c r="A14" s="24"/>
      <c r="B14" s="24"/>
      <c r="C14" s="24"/>
      <c r="D14" s="24"/>
      <c r="E14" s="24"/>
      <c r="F14" s="24"/>
      <c r="G14" s="24"/>
      <c r="H14" s="79"/>
      <c r="I14" s="114"/>
      <c r="J14" s="103"/>
      <c r="K14" s="91"/>
      <c r="L14" s="36"/>
      <c r="M14" s="36"/>
      <c r="N14" s="36"/>
      <c r="O14" s="92"/>
      <c r="P14" s="28"/>
      <c r="Q14" s="28"/>
      <c r="R14" s="28"/>
      <c r="S14" s="28"/>
    </row>
    <row r="15" ht="15.75" customHeight="1">
      <c r="A15" s="24"/>
      <c r="B15" s="28"/>
      <c r="C15" s="28"/>
      <c r="D15" s="28"/>
      <c r="E15" s="28"/>
      <c r="F15" s="28"/>
      <c r="G15" s="28"/>
      <c r="H15" s="79"/>
      <c r="I15" s="114"/>
      <c r="J15" s="103"/>
      <c r="K15" s="111" t="s">
        <v>99</v>
      </c>
      <c r="L15" s="88"/>
      <c r="M15" s="88"/>
      <c r="N15" s="88"/>
      <c r="O15" s="86"/>
      <c r="P15" s="96" t="str">
        <f>$P$5</f>
        <v>AO</v>
      </c>
      <c r="Q15" s="96" t="str">
        <f t="shared" ref="Q15:S15" si="4">$Q$5</f>
        <v>AO</v>
      </c>
      <c r="R15" s="96" t="str">
        <f t="shared" si="4"/>
        <v>AO</v>
      </c>
      <c r="S15" s="96" t="str">
        <f t="shared" si="4"/>
        <v>AO</v>
      </c>
    </row>
    <row r="16" ht="15.75" customHeight="1">
      <c r="A16" s="112" t="s">
        <v>100</v>
      </c>
      <c r="B16" s="106">
        <f>VLOOKUP(U5,'QUARTER 1 GRADES'!B3:O53,COLUMN('QUARTER 1 GRADES'!H:H)-COLUMN('QUARTER 1 GRADES'!B3:R53)+1,0)</f>
        <v>80</v>
      </c>
      <c r="C16" s="107">
        <f>VLOOKUP(U5,'QUARTER 2 GRADES'!B3:O54,COLUMN('QUARTER 2 GRADES'!H:H)-COLUMN('QUARTER 2 GRADES'!B3:Q54)+1,0)</f>
        <v>81</v>
      </c>
      <c r="D16" s="107">
        <f>VLOOKUP(U5,'QUARTER 3 GRADES'!B3:O53,COLUMN('QUARTER 2 GRADES'!H:H)-COLUMN('QUARTER 3 GRADES'!B3:R53)+1,0)</f>
        <v>81</v>
      </c>
      <c r="E16" s="107">
        <f>VLOOKUP(U5,'QUARTER 4 GRADES'!B3:O53,COLUMN('QUARTER 4 GRADES'!H:H)-COLUMN('QUARTER 4 GRADES'!B3:Q53)+1,0)</f>
        <v>83</v>
      </c>
      <c r="F16" s="107">
        <f>ROUND(AVERAGE(B16:E18),0)</f>
        <v>81</v>
      </c>
      <c r="G16" s="113" t="s">
        <v>87</v>
      </c>
      <c r="H16" s="16"/>
      <c r="I16" s="114"/>
      <c r="J16" s="103"/>
      <c r="K16" s="114"/>
      <c r="O16" s="103"/>
      <c r="P16" s="24"/>
      <c r="Q16" s="24"/>
      <c r="R16" s="24"/>
      <c r="S16" s="24"/>
    </row>
    <row r="17" ht="9.75" customHeight="1">
      <c r="A17" s="24"/>
      <c r="B17" s="24"/>
      <c r="C17" s="24"/>
      <c r="D17" s="24"/>
      <c r="E17" s="24"/>
      <c r="F17" s="24"/>
      <c r="G17" s="24"/>
      <c r="H17" s="16"/>
      <c r="I17" s="114"/>
      <c r="J17" s="103"/>
      <c r="K17" s="91"/>
      <c r="L17" s="36"/>
      <c r="M17" s="36"/>
      <c r="N17" s="36"/>
      <c r="O17" s="92"/>
      <c r="P17" s="28"/>
      <c r="Q17" s="28"/>
      <c r="R17" s="28"/>
      <c r="S17" s="28"/>
    </row>
    <row r="18" ht="12.0" customHeight="1">
      <c r="A18" s="28"/>
      <c r="B18" s="28"/>
      <c r="C18" s="28"/>
      <c r="D18" s="28"/>
      <c r="E18" s="28"/>
      <c r="F18" s="28"/>
      <c r="G18" s="28"/>
      <c r="H18" s="16"/>
      <c r="I18" s="110" t="s">
        <v>101</v>
      </c>
      <c r="J18" s="115"/>
      <c r="K18" s="99" t="s">
        <v>102</v>
      </c>
      <c r="L18" s="88"/>
      <c r="M18" s="88"/>
      <c r="N18" s="88"/>
      <c r="O18" s="86"/>
      <c r="P18" s="96" t="str">
        <f>$P$5</f>
        <v>AO</v>
      </c>
      <c r="Q18" s="96" t="str">
        <f t="shared" ref="Q18:S18" si="5">$Q$5</f>
        <v>AO</v>
      </c>
      <c r="R18" s="96" t="str">
        <f t="shared" si="5"/>
        <v>AO</v>
      </c>
      <c r="S18" s="96" t="str">
        <f t="shared" si="5"/>
        <v>AO</v>
      </c>
    </row>
    <row r="19" ht="19.5" customHeight="1">
      <c r="A19" s="30" t="s">
        <v>103</v>
      </c>
      <c r="B19" s="94">
        <f>VLOOKUP(U5,'QUARTER 1 GRADES'!B3:O53,COLUMN('QUARTER 1 GRADES'!I:I)-COLUMN('QUARTER 1 GRADES'!B3:R53)+1,0)</f>
        <v>84</v>
      </c>
      <c r="C19" s="95">
        <f>VLOOKUP(U5,'QUARTER 2 GRADES'!B3:O54,COLUMN('QUARTER 2 GRADES'!I:I)-COLUMN('QUARTER 2 GRADES'!B3:Q54)+1,0)</f>
        <v>85</v>
      </c>
      <c r="D19" s="95">
        <f>VLOOKUP(U5,'QUARTER 3 GRADES'!B3:O53,COLUMN('QUARTER 2 GRADES'!I:I)-COLUMN('QUARTER 3 GRADES'!B3:R53)+1,0)</f>
        <v>86</v>
      </c>
      <c r="E19" s="95">
        <f>VLOOKUP(U5,'QUARTER 4 GRADES'!B3:O53,COLUMN('QUARTER 4 GRADES'!I:I)-COLUMN('QUARTER 4 GRADES'!B3:Q53)+1,0)</f>
        <v>88</v>
      </c>
      <c r="F19" s="107">
        <f>ROUND(AVERAGE(B19:E21),0)</f>
        <v>86</v>
      </c>
      <c r="G19" s="96" t="s">
        <v>87</v>
      </c>
      <c r="H19" s="16"/>
      <c r="I19" s="116" t="s">
        <v>104</v>
      </c>
      <c r="J19" s="102"/>
      <c r="O19" s="103"/>
      <c r="P19" s="24"/>
      <c r="Q19" s="24"/>
      <c r="R19" s="24"/>
      <c r="S19" s="24"/>
    </row>
    <row r="20" ht="21.75" customHeight="1">
      <c r="A20" s="24"/>
      <c r="B20" s="24"/>
      <c r="C20" s="24"/>
      <c r="D20" s="24"/>
      <c r="E20" s="24"/>
      <c r="F20" s="24"/>
      <c r="G20" s="24"/>
      <c r="H20" s="16"/>
      <c r="I20" s="108"/>
      <c r="J20" s="117"/>
      <c r="K20" s="36"/>
      <c r="L20" s="36"/>
      <c r="M20" s="36"/>
      <c r="N20" s="36"/>
      <c r="O20" s="92"/>
      <c r="P20" s="28"/>
      <c r="Q20" s="28"/>
      <c r="R20" s="28"/>
      <c r="S20" s="28"/>
    </row>
    <row r="21" ht="18.0" customHeight="1">
      <c r="A21" s="28"/>
      <c r="B21" s="28"/>
      <c r="C21" s="28"/>
      <c r="D21" s="28"/>
      <c r="E21" s="28"/>
      <c r="F21" s="28"/>
      <c r="G21" s="28"/>
      <c r="H21" s="16"/>
      <c r="I21" s="118" t="s">
        <v>105</v>
      </c>
      <c r="J21" s="86"/>
      <c r="K21" s="111" t="s">
        <v>106</v>
      </c>
      <c r="L21" s="88"/>
      <c r="M21" s="88"/>
      <c r="N21" s="88"/>
      <c r="O21" s="86"/>
      <c r="P21" s="96" t="str">
        <f t="shared" ref="P21:S21" si="6">P18</f>
        <v>AO</v>
      </c>
      <c r="Q21" s="96" t="str">
        <f t="shared" si="6"/>
        <v>AO</v>
      </c>
      <c r="R21" s="96" t="str">
        <f t="shared" si="6"/>
        <v>AO</v>
      </c>
      <c r="S21" s="96" t="str">
        <f t="shared" si="6"/>
        <v>AO</v>
      </c>
    </row>
    <row r="22" ht="18.0" customHeight="1">
      <c r="A22" s="119" t="s">
        <v>107</v>
      </c>
      <c r="B22" s="120">
        <f>VLOOKUP(U5,'QUARTER 1 GRADES'!B3:O53,COLUMN('QUARTER 1 GRADES'!J:J)-COLUMN('QUARTER 1 GRADES'!B3:R53)+1,0)</f>
        <v>84</v>
      </c>
      <c r="C22" s="121">
        <f>VLOOKUP(U5,'QUARTER 2 GRADES'!B3:O54,COLUMN('QUARTER 2 GRADES'!J:J)-COLUMN('QUARTER 2 GRADES'!B3:Q54)+1,0)</f>
        <v>85</v>
      </c>
      <c r="D22" s="121">
        <f>VLOOKUP(U5,'QUARTER 3 GRADES'!B3:O53,COLUMN('QUARTER 2 GRADES'!J:J)-COLUMN('QUARTER 3 GRADES'!B3:R53)+1,0)</f>
        <v>84</v>
      </c>
      <c r="E22" s="121">
        <f>VLOOKUP(U5,'QUARTER 4 GRADES'!B3:O53,COLUMN('QUARTER 4 GRADES'!J:J)-COLUMN('QUARTER 4 GRADES'!B3:Q53)+1,0)</f>
        <v>86</v>
      </c>
      <c r="F22" s="122">
        <f t="shared" ref="F22:F26" si="7">ROUND(AVERAGE(B22:E22),0)</f>
        <v>85</v>
      </c>
      <c r="G22" s="123" t="s">
        <v>87</v>
      </c>
      <c r="H22" s="16"/>
      <c r="I22" s="114"/>
      <c r="J22" s="103"/>
      <c r="K22" s="114"/>
      <c r="O22" s="103"/>
      <c r="P22" s="24"/>
      <c r="Q22" s="24"/>
      <c r="R22" s="24"/>
      <c r="S22" s="24"/>
    </row>
    <row r="23" ht="16.5" customHeight="1">
      <c r="A23" s="124" t="s">
        <v>108</v>
      </c>
      <c r="B23" s="125">
        <f>VLOOKUP(U5,'QUARTER 1 GRADES'!B3:O53,COLUMN('QUARTER 1 GRADES'!K:K)-COLUMN('QUARTER 1 GRADES'!B3:R53)+1,0)</f>
        <v>84</v>
      </c>
      <c r="C23" s="126">
        <f>VLOOKUP(U5,'QUARTER 2 GRADES'!B3:O54,COLUMN('QUARTER 2 GRADES'!K:K)-COLUMN('QUARTER 2 GRADES'!B3:Q54)+1,0)</f>
        <v>84</v>
      </c>
      <c r="D23" s="126">
        <f>VLOOKUP(U5,'QUARTER 3 GRADES'!B3:O53,COLUMN('QUARTER 2 GRADES'!K:K)-COLUMN('QUARTER 3 GRADES'!B3:R53)+1,0)</f>
        <v>83</v>
      </c>
      <c r="E23" s="127">
        <f>VLOOKUP(U5,'QUARTER 4 GRADES'!B3:O53,COLUMN('QUARTER 4 GRADES'!K:K)-COLUMN('QUARTER 4 GRADES'!B3:Q53)+1,0)</f>
        <v>85</v>
      </c>
      <c r="F23" s="128">
        <f t="shared" si="7"/>
        <v>84</v>
      </c>
      <c r="G23" s="129" t="s">
        <v>87</v>
      </c>
      <c r="H23" s="16"/>
      <c r="I23" s="114"/>
      <c r="J23" s="103"/>
      <c r="K23" s="114"/>
      <c r="O23" s="103"/>
      <c r="P23" s="24"/>
      <c r="Q23" s="24"/>
      <c r="R23" s="24"/>
      <c r="S23" s="24"/>
    </row>
    <row r="24" ht="16.5" customHeight="1">
      <c r="A24" s="124" t="s">
        <v>109</v>
      </c>
      <c r="B24" s="125">
        <f>VLOOKUP(U5,'QUARTER 1 GRADES'!B3:O53,COLUMN('QUARTER 1 GRADES'!L:L)-COLUMN('QUARTER 1 GRADES'!B3:R53)+1,0)</f>
        <v>84</v>
      </c>
      <c r="C24" s="126">
        <f>VLOOKUP(U5,'QUARTER 2 GRADES'!B3:O54,COLUMN('QUARTER 2 GRADES'!L:L)-COLUMN('QUARTER 2 GRADES'!B3:Q54)+1,0)</f>
        <v>85</v>
      </c>
      <c r="D24" s="126">
        <f>VLOOKUP(U5,'QUARTER 3 GRADES'!B3:O53,COLUMN('QUARTER 2 GRADES'!L:L)-COLUMN('QUARTER 3 GRADES'!B3:R53)+1,0)</f>
        <v>84</v>
      </c>
      <c r="E24" s="127">
        <f>VLOOKUP(U5,'QUARTER 4 GRADES'!B3:O53,COLUMN('QUARTER 4 GRADES'!L:L)-COLUMN('QUARTER 4 GRADES'!B3:Q53)+1,0)</f>
        <v>86</v>
      </c>
      <c r="F24" s="128">
        <f t="shared" si="7"/>
        <v>85</v>
      </c>
      <c r="G24" s="129" t="s">
        <v>87</v>
      </c>
      <c r="H24" s="16"/>
      <c r="I24" s="114"/>
      <c r="J24" s="103"/>
      <c r="K24" s="91"/>
      <c r="L24" s="36"/>
      <c r="M24" s="36"/>
      <c r="N24" s="36"/>
      <c r="O24" s="92"/>
      <c r="P24" s="28"/>
      <c r="Q24" s="28"/>
      <c r="R24" s="28"/>
      <c r="S24" s="28"/>
    </row>
    <row r="25" ht="16.5" customHeight="1">
      <c r="A25" s="124"/>
      <c r="B25" s="130">
        <f t="shared" ref="B25:E25" si="8">AVERAGE(B5:B22)</f>
        <v>80</v>
      </c>
      <c r="C25" s="130">
        <f t="shared" si="8"/>
        <v>81.625</v>
      </c>
      <c r="D25" s="130">
        <f t="shared" si="8"/>
        <v>81.875</v>
      </c>
      <c r="E25" s="130">
        <f t="shared" si="8"/>
        <v>83.75</v>
      </c>
      <c r="F25" s="131">
        <f t="shared" si="7"/>
        <v>82</v>
      </c>
      <c r="G25" s="132" t="s">
        <v>87</v>
      </c>
      <c r="H25" s="16"/>
      <c r="I25" s="133" t="s">
        <v>110</v>
      </c>
      <c r="J25" s="103"/>
      <c r="K25" s="111" t="s">
        <v>111</v>
      </c>
      <c r="L25" s="88"/>
      <c r="M25" s="88"/>
      <c r="N25" s="88"/>
      <c r="O25" s="86"/>
      <c r="P25" s="96" t="str">
        <f t="shared" ref="P25:S25" si="9">P21</f>
        <v>AO</v>
      </c>
      <c r="Q25" s="96" t="str">
        <f t="shared" si="9"/>
        <v>AO</v>
      </c>
      <c r="R25" s="96" t="str">
        <f t="shared" si="9"/>
        <v>AO</v>
      </c>
      <c r="S25" s="96" t="str">
        <f t="shared" si="9"/>
        <v>AO</v>
      </c>
    </row>
    <row r="26" ht="15.0" customHeight="1">
      <c r="A26" s="134" t="s">
        <v>112</v>
      </c>
      <c r="B26" s="135">
        <f t="shared" ref="B26:E26" si="10">ROUND(B25,0)</f>
        <v>80</v>
      </c>
      <c r="C26" s="135">
        <f t="shared" si="10"/>
        <v>82</v>
      </c>
      <c r="D26" s="135">
        <f t="shared" si="10"/>
        <v>82</v>
      </c>
      <c r="E26" s="135">
        <f t="shared" si="10"/>
        <v>84</v>
      </c>
      <c r="F26" s="131">
        <f t="shared" si="7"/>
        <v>82</v>
      </c>
      <c r="G26" s="132" t="s">
        <v>87</v>
      </c>
      <c r="H26" s="16"/>
      <c r="I26" s="114"/>
      <c r="J26" s="103"/>
      <c r="K26" s="114"/>
      <c r="O26" s="103"/>
      <c r="P26" s="24"/>
      <c r="Q26" s="24"/>
      <c r="R26" s="24"/>
      <c r="S26" s="24"/>
    </row>
    <row r="27" ht="19.5" customHeight="1">
      <c r="A27" s="136"/>
      <c r="B27" s="137" t="s">
        <v>113</v>
      </c>
      <c r="C27" s="40"/>
      <c r="D27" s="40"/>
      <c r="E27" s="83"/>
      <c r="F27" s="138">
        <f>ROUND(AVERAGE(F5:F22),0)</f>
        <v>82</v>
      </c>
      <c r="G27" s="139"/>
      <c r="H27" s="16"/>
      <c r="I27" s="114"/>
      <c r="J27" s="103"/>
      <c r="K27" s="114"/>
      <c r="O27" s="103"/>
      <c r="P27" s="24"/>
      <c r="Q27" s="24"/>
      <c r="R27" s="24"/>
      <c r="S27" s="24"/>
    </row>
    <row r="28" ht="19.5" customHeight="1">
      <c r="C28" s="6" t="s">
        <v>114</v>
      </c>
      <c r="D28" s="6" t="s">
        <v>6</v>
      </c>
      <c r="E28" s="6" t="s">
        <v>7</v>
      </c>
      <c r="F28" s="6" t="s">
        <v>8</v>
      </c>
      <c r="G28" s="140"/>
      <c r="H28" s="16"/>
      <c r="I28" s="91"/>
      <c r="J28" s="92"/>
      <c r="K28" s="91"/>
      <c r="L28" s="36"/>
      <c r="M28" s="36"/>
      <c r="N28" s="36"/>
      <c r="O28" s="92"/>
      <c r="P28" s="28"/>
      <c r="Q28" s="28"/>
      <c r="R28" s="28"/>
      <c r="S28" s="28"/>
    </row>
    <row r="29" ht="15.0" customHeight="1">
      <c r="A29" s="141" t="s">
        <v>115</v>
      </c>
      <c r="B29" s="83"/>
      <c r="C29" s="123" t="s">
        <v>116</v>
      </c>
      <c r="D29" s="123" t="s">
        <v>116</v>
      </c>
      <c r="E29" s="123" t="s">
        <v>116</v>
      </c>
      <c r="F29" s="123" t="s">
        <v>116</v>
      </c>
      <c r="G29" s="140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15.0" customHeight="1">
      <c r="A30" s="142"/>
      <c r="B30" s="88"/>
      <c r="C30" s="88"/>
      <c r="D30" s="88"/>
      <c r="E30" s="88"/>
      <c r="F30" s="143"/>
      <c r="G30" s="140"/>
      <c r="H30" s="79"/>
      <c r="I30" s="144"/>
      <c r="J30" s="145"/>
      <c r="M30" s="146"/>
      <c r="N30" s="145"/>
      <c r="S30" s="16"/>
    </row>
    <row r="31" ht="15.0" customHeight="1">
      <c r="A31" s="147" t="s">
        <v>117</v>
      </c>
      <c r="C31" s="144"/>
      <c r="D31" s="144" t="s">
        <v>118</v>
      </c>
      <c r="F31" s="145" t="s">
        <v>82</v>
      </c>
      <c r="H31" s="79"/>
      <c r="I31" s="79"/>
      <c r="J31" s="145" t="s">
        <v>119</v>
      </c>
      <c r="M31" s="146"/>
      <c r="N31" s="145" t="s">
        <v>120</v>
      </c>
      <c r="S31" s="16"/>
    </row>
    <row r="32" ht="15.0" customHeight="1">
      <c r="A32" s="148" t="s">
        <v>121</v>
      </c>
      <c r="B32" s="148"/>
      <c r="C32" s="148"/>
      <c r="D32" s="149" t="s">
        <v>122</v>
      </c>
      <c r="E32" s="149"/>
      <c r="F32" s="149" t="s">
        <v>87</v>
      </c>
      <c r="G32" s="149"/>
      <c r="H32" s="79"/>
      <c r="I32" s="79"/>
      <c r="J32" s="149" t="s">
        <v>89</v>
      </c>
      <c r="K32" s="149"/>
      <c r="L32" s="149"/>
      <c r="M32" s="146"/>
      <c r="N32" s="79"/>
      <c r="O32" s="79" t="s">
        <v>123</v>
      </c>
      <c r="P32" s="79"/>
      <c r="Q32" s="79"/>
      <c r="R32" s="79"/>
      <c r="S32" s="16"/>
    </row>
    <row r="33" ht="15.0" customHeight="1">
      <c r="A33" s="148" t="s">
        <v>124</v>
      </c>
      <c r="B33" s="148"/>
      <c r="C33" s="148"/>
      <c r="D33" s="149" t="s">
        <v>125</v>
      </c>
      <c r="E33" s="149"/>
      <c r="F33" s="149" t="s">
        <v>87</v>
      </c>
      <c r="G33" s="149"/>
      <c r="H33" s="79"/>
      <c r="I33" s="79"/>
      <c r="J33" s="149" t="s">
        <v>126</v>
      </c>
      <c r="K33" s="149"/>
      <c r="L33" s="149"/>
      <c r="M33" s="146"/>
      <c r="N33" s="79"/>
      <c r="O33" s="79" t="s">
        <v>127</v>
      </c>
      <c r="P33" s="79"/>
      <c r="Q33" s="79"/>
      <c r="R33" s="79"/>
      <c r="S33" s="16"/>
    </row>
    <row r="34" ht="15.0" customHeight="1">
      <c r="A34" s="148" t="s">
        <v>128</v>
      </c>
      <c r="B34" s="148"/>
      <c r="C34" s="148"/>
      <c r="D34" s="149" t="s">
        <v>129</v>
      </c>
      <c r="E34" s="149"/>
      <c r="F34" s="149" t="s">
        <v>87</v>
      </c>
      <c r="G34" s="149"/>
      <c r="H34" s="79"/>
      <c r="I34" s="79"/>
      <c r="J34" s="149" t="s">
        <v>130</v>
      </c>
      <c r="K34" s="149"/>
      <c r="L34" s="149"/>
      <c r="M34" s="146"/>
      <c r="N34" s="79"/>
      <c r="O34" s="79" t="s">
        <v>131</v>
      </c>
      <c r="P34" s="79"/>
      <c r="Q34" s="79"/>
      <c r="R34" s="79"/>
      <c r="S34" s="16"/>
    </row>
    <row r="35" ht="15.0" customHeight="1">
      <c r="A35" s="148" t="s">
        <v>132</v>
      </c>
      <c r="B35" s="148"/>
      <c r="C35" s="148"/>
      <c r="D35" s="149" t="s">
        <v>133</v>
      </c>
      <c r="E35" s="149"/>
      <c r="F35" s="149" t="s">
        <v>87</v>
      </c>
      <c r="G35" s="149"/>
      <c r="H35" s="79"/>
      <c r="I35" s="79"/>
      <c r="J35" s="149" t="s">
        <v>134</v>
      </c>
      <c r="K35" s="149"/>
      <c r="L35" s="149"/>
      <c r="M35" s="146"/>
      <c r="N35" s="79"/>
      <c r="O35" s="79" t="s">
        <v>135</v>
      </c>
      <c r="P35" s="79"/>
      <c r="Q35" s="79"/>
      <c r="R35" s="79"/>
      <c r="S35" s="16"/>
    </row>
    <row r="36" ht="13.5" customHeight="1">
      <c r="A36" s="148" t="s">
        <v>136</v>
      </c>
      <c r="B36" s="148"/>
      <c r="C36" s="148"/>
      <c r="D36" s="149" t="s">
        <v>137</v>
      </c>
      <c r="E36" s="149"/>
      <c r="F36" s="149" t="s">
        <v>138</v>
      </c>
      <c r="G36" s="149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50"/>
    </row>
    <row r="37" ht="13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</row>
    <row r="39" ht="13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</row>
    <row r="53" ht="12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</row>
    <row r="54" ht="12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F13:F15"/>
    <mergeCell ref="G13:G15"/>
    <mergeCell ref="F16:F18"/>
    <mergeCell ref="G16:G18"/>
    <mergeCell ref="I21:J24"/>
    <mergeCell ref="I25:J28"/>
    <mergeCell ref="D9:D10"/>
    <mergeCell ref="E9:E10"/>
    <mergeCell ref="D11:D12"/>
    <mergeCell ref="E11:E12"/>
    <mergeCell ref="F11:F12"/>
    <mergeCell ref="G11:G12"/>
    <mergeCell ref="I12:J17"/>
    <mergeCell ref="A31:B31"/>
    <mergeCell ref="D31:E31"/>
    <mergeCell ref="F31:G31"/>
    <mergeCell ref="D13:D15"/>
    <mergeCell ref="E13:E15"/>
    <mergeCell ref="D16:D18"/>
    <mergeCell ref="E16:E18"/>
    <mergeCell ref="B27:E27"/>
    <mergeCell ref="A29:B29"/>
    <mergeCell ref="A30:E30"/>
    <mergeCell ref="B9:B10"/>
    <mergeCell ref="C9:C10"/>
    <mergeCell ref="A11:A12"/>
    <mergeCell ref="B11:B12"/>
    <mergeCell ref="C11:C12"/>
    <mergeCell ref="B13:B15"/>
    <mergeCell ref="C13:C15"/>
    <mergeCell ref="D19:D21"/>
    <mergeCell ref="E19:E21"/>
    <mergeCell ref="F19:F21"/>
    <mergeCell ref="G19:G21"/>
    <mergeCell ref="A13:A15"/>
    <mergeCell ref="A16:A18"/>
    <mergeCell ref="B16:B18"/>
    <mergeCell ref="C16:C18"/>
    <mergeCell ref="A19:A21"/>
    <mergeCell ref="B19:B21"/>
    <mergeCell ref="C19:C21"/>
    <mergeCell ref="K12:O14"/>
    <mergeCell ref="P12:P14"/>
    <mergeCell ref="Q12:Q14"/>
    <mergeCell ref="R12:R14"/>
    <mergeCell ref="S12:S14"/>
    <mergeCell ref="P15:P17"/>
    <mergeCell ref="S15:S17"/>
    <mergeCell ref="R21:R24"/>
    <mergeCell ref="S21:S24"/>
    <mergeCell ref="R36:S36"/>
    <mergeCell ref="K15:O17"/>
    <mergeCell ref="K18:O20"/>
    <mergeCell ref="P18:P20"/>
    <mergeCell ref="Q18:Q20"/>
    <mergeCell ref="R18:R20"/>
    <mergeCell ref="S18:S20"/>
    <mergeCell ref="K21:O24"/>
    <mergeCell ref="N30:R30"/>
    <mergeCell ref="N31:R31"/>
    <mergeCell ref="K25:O28"/>
    <mergeCell ref="P25:P28"/>
    <mergeCell ref="Q25:Q28"/>
    <mergeCell ref="R25:R28"/>
    <mergeCell ref="S25:S28"/>
    <mergeCell ref="J30:L30"/>
    <mergeCell ref="J31:L31"/>
    <mergeCell ref="A1:G1"/>
    <mergeCell ref="I1:S1"/>
    <mergeCell ref="B3:E3"/>
    <mergeCell ref="G3:G4"/>
    <mergeCell ref="I3:J4"/>
    <mergeCell ref="K3:O4"/>
    <mergeCell ref="P3:S3"/>
    <mergeCell ref="G5:G6"/>
    <mergeCell ref="K5:O8"/>
    <mergeCell ref="P5:P8"/>
    <mergeCell ref="Q5:Q8"/>
    <mergeCell ref="R5:R8"/>
    <mergeCell ref="S5:S8"/>
    <mergeCell ref="G7:G8"/>
    <mergeCell ref="I7:J7"/>
    <mergeCell ref="A3:A4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F9:F10"/>
    <mergeCell ref="G9:G10"/>
    <mergeCell ref="K9:O11"/>
    <mergeCell ref="P9:P11"/>
    <mergeCell ref="Q9:Q11"/>
    <mergeCell ref="R9:R11"/>
    <mergeCell ref="S9:S11"/>
    <mergeCell ref="Q15:Q17"/>
    <mergeCell ref="R15:R17"/>
    <mergeCell ref="P21:P24"/>
    <mergeCell ref="Q21:Q24"/>
  </mergeCells>
  <dataValidations>
    <dataValidation type="list" allowBlank="1" showErrorMessage="1" sqref="U5">
      <formula1>'QUARTER 1 GRADES'!$B$3:$B$53</formula1>
    </dataValidation>
  </dataValidations>
  <printOptions/>
  <pageMargins bottom="0.31496062992125984" footer="0.0" header="0.0" left="0.3937007874015748" right="0.07874015748031496" top="0.31496062992125984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15" width="8.71"/>
    <col customWidth="1" min="16" max="16" width="11.43"/>
    <col customWidth="1" min="17" max="26" width="8.71"/>
  </cols>
  <sheetData>
    <row r="1" ht="42.75" customHeight="1">
      <c r="A1" s="151"/>
      <c r="B1" s="152" t="s">
        <v>139</v>
      </c>
      <c r="C1" s="153" t="s">
        <v>140</v>
      </c>
      <c r="D1" s="153" t="s">
        <v>141</v>
      </c>
      <c r="E1" s="154" t="s">
        <v>142</v>
      </c>
      <c r="F1" s="154" t="s">
        <v>143</v>
      </c>
      <c r="G1" s="154" t="s">
        <v>144</v>
      </c>
      <c r="H1" s="153" t="s">
        <v>145</v>
      </c>
      <c r="I1" s="154" t="s">
        <v>146</v>
      </c>
      <c r="J1" s="155" t="s">
        <v>107</v>
      </c>
      <c r="K1" s="156"/>
      <c r="L1" s="156"/>
      <c r="M1" s="156"/>
      <c r="N1" s="156"/>
      <c r="O1" s="157" t="s">
        <v>147</v>
      </c>
      <c r="Q1" s="158" t="s">
        <v>148</v>
      </c>
      <c r="R1" s="159"/>
    </row>
    <row r="2">
      <c r="A2" s="151"/>
      <c r="B2" s="160"/>
      <c r="C2" s="161">
        <v>1.0</v>
      </c>
      <c r="D2" s="161">
        <v>2.0</v>
      </c>
      <c r="E2" s="161">
        <v>3.0</v>
      </c>
      <c r="F2" s="161">
        <v>4.0</v>
      </c>
      <c r="G2" s="161">
        <v>5.0</v>
      </c>
      <c r="H2" s="161">
        <v>6.0</v>
      </c>
      <c r="I2" s="161">
        <v>7.0</v>
      </c>
      <c r="J2" s="161">
        <v>8.0</v>
      </c>
      <c r="K2" s="162" t="s">
        <v>149</v>
      </c>
      <c r="L2" s="162" t="s">
        <v>150</v>
      </c>
      <c r="M2" s="162"/>
      <c r="N2" s="162"/>
      <c r="O2" s="163"/>
      <c r="Q2" s="164"/>
      <c r="R2" s="159"/>
    </row>
    <row r="3">
      <c r="A3" s="165">
        <v>1.0</v>
      </c>
      <c r="B3" s="166" t="s">
        <v>9</v>
      </c>
      <c r="C3" s="167">
        <v>85.0</v>
      </c>
      <c r="D3" s="167">
        <v>81.0</v>
      </c>
      <c r="E3" s="167">
        <v>81.0</v>
      </c>
      <c r="F3" s="167">
        <v>78.0</v>
      </c>
      <c r="G3" s="167">
        <v>80.0</v>
      </c>
      <c r="H3" s="168">
        <v>84.0</v>
      </c>
      <c r="I3" s="169">
        <v>86.0</v>
      </c>
      <c r="J3" s="170">
        <v>83.0</v>
      </c>
      <c r="K3" s="171">
        <v>83.0</v>
      </c>
      <c r="L3" s="172">
        <v>83.0</v>
      </c>
      <c r="M3" s="172"/>
      <c r="N3" s="173"/>
      <c r="O3" s="174">
        <f t="shared" ref="O3:O43" si="1">ROUND(P3,0)</f>
        <v>82</v>
      </c>
      <c r="P3" s="1">
        <f t="shared" ref="P3:P43" si="2">SUM(C3:J3)/8</f>
        <v>82.25</v>
      </c>
      <c r="Q3" s="1">
        <f t="shared" ref="Q3:Q43" si="3">RANK(P3,$P$3:$P$43)</f>
        <v>3</v>
      </c>
      <c r="R3" s="159"/>
    </row>
    <row r="4">
      <c r="A4" s="175">
        <v>2.0</v>
      </c>
      <c r="B4" s="176" t="s">
        <v>12</v>
      </c>
      <c r="C4" s="167">
        <v>82.0</v>
      </c>
      <c r="D4" s="167">
        <v>80.0</v>
      </c>
      <c r="E4" s="167">
        <v>83.0</v>
      </c>
      <c r="F4" s="167">
        <v>79.0</v>
      </c>
      <c r="G4" s="167">
        <v>79.0</v>
      </c>
      <c r="H4" s="168">
        <v>80.0</v>
      </c>
      <c r="I4" s="169">
        <v>84.0</v>
      </c>
      <c r="J4" s="177">
        <v>85.0</v>
      </c>
      <c r="K4" s="171">
        <v>83.0</v>
      </c>
      <c r="L4" s="172">
        <v>86.0</v>
      </c>
      <c r="M4" s="172"/>
      <c r="N4" s="173"/>
      <c r="O4" s="174">
        <f t="shared" si="1"/>
        <v>82</v>
      </c>
      <c r="P4" s="1">
        <f t="shared" si="2"/>
        <v>81.5</v>
      </c>
      <c r="Q4" s="1">
        <f t="shared" si="3"/>
        <v>4</v>
      </c>
      <c r="R4" s="159"/>
    </row>
    <row r="5">
      <c r="A5" s="175">
        <v>3.0</v>
      </c>
      <c r="B5" s="176" t="s">
        <v>13</v>
      </c>
      <c r="C5" s="167">
        <v>81.0</v>
      </c>
      <c r="D5" s="167">
        <v>83.0</v>
      </c>
      <c r="E5" s="167">
        <v>80.0</v>
      </c>
      <c r="F5" s="167">
        <v>76.0</v>
      </c>
      <c r="G5" s="167">
        <v>82.0</v>
      </c>
      <c r="H5" s="168">
        <v>79.0</v>
      </c>
      <c r="I5" s="169">
        <v>80.0</v>
      </c>
      <c r="J5" s="177">
        <v>81.0</v>
      </c>
      <c r="K5" s="171">
        <v>80.0</v>
      </c>
      <c r="L5" s="172">
        <v>81.0</v>
      </c>
      <c r="M5" s="172"/>
      <c r="N5" s="173"/>
      <c r="O5" s="174">
        <f t="shared" si="1"/>
        <v>80</v>
      </c>
      <c r="P5" s="1">
        <f t="shared" si="2"/>
        <v>80.25</v>
      </c>
      <c r="Q5" s="1">
        <f t="shared" si="3"/>
        <v>7</v>
      </c>
      <c r="R5" s="159"/>
    </row>
    <row r="6">
      <c r="A6" s="175">
        <v>4.0</v>
      </c>
      <c r="B6" s="176" t="s">
        <v>14</v>
      </c>
      <c r="C6" s="167">
        <v>81.0</v>
      </c>
      <c r="D6" s="167">
        <v>78.0</v>
      </c>
      <c r="E6" s="167">
        <v>79.0</v>
      </c>
      <c r="F6" s="167">
        <v>77.0</v>
      </c>
      <c r="G6" s="167">
        <v>77.0</v>
      </c>
      <c r="H6" s="168">
        <v>80.0</v>
      </c>
      <c r="I6" s="169">
        <v>84.0</v>
      </c>
      <c r="J6" s="177">
        <v>84.0</v>
      </c>
      <c r="K6" s="171">
        <v>84.0</v>
      </c>
      <c r="L6" s="172">
        <v>84.0</v>
      </c>
      <c r="M6" s="172"/>
      <c r="N6" s="173"/>
      <c r="O6" s="174">
        <f t="shared" si="1"/>
        <v>80</v>
      </c>
      <c r="P6" s="1">
        <f t="shared" si="2"/>
        <v>80</v>
      </c>
      <c r="Q6" s="1">
        <f t="shared" si="3"/>
        <v>8</v>
      </c>
      <c r="R6" s="159"/>
    </row>
    <row r="7">
      <c r="A7" s="175">
        <v>5.0</v>
      </c>
      <c r="B7" s="176" t="s">
        <v>15</v>
      </c>
      <c r="C7" s="167">
        <v>85.0</v>
      </c>
      <c r="D7" s="167">
        <v>82.0</v>
      </c>
      <c r="E7" s="167">
        <v>84.0</v>
      </c>
      <c r="F7" s="167">
        <v>79.0</v>
      </c>
      <c r="G7" s="167">
        <v>81.0</v>
      </c>
      <c r="H7" s="168">
        <v>80.0</v>
      </c>
      <c r="I7" s="169">
        <v>84.0</v>
      </c>
      <c r="J7" s="177">
        <v>86.0</v>
      </c>
      <c r="K7" s="171">
        <v>85.0</v>
      </c>
      <c r="L7" s="172">
        <v>86.0</v>
      </c>
      <c r="M7" s="172"/>
      <c r="N7" s="173"/>
      <c r="O7" s="174">
        <f t="shared" si="1"/>
        <v>83</v>
      </c>
      <c r="P7" s="1">
        <f t="shared" si="2"/>
        <v>82.625</v>
      </c>
      <c r="Q7" s="1">
        <f t="shared" si="3"/>
        <v>2</v>
      </c>
      <c r="R7" s="159"/>
    </row>
    <row r="8">
      <c r="A8" s="175">
        <v>6.0</v>
      </c>
      <c r="B8" s="176" t="s">
        <v>16</v>
      </c>
      <c r="C8" s="167">
        <v>83.0</v>
      </c>
      <c r="D8" s="167">
        <v>77.0</v>
      </c>
      <c r="E8" s="167">
        <v>80.0</v>
      </c>
      <c r="F8" s="167">
        <v>77.0</v>
      </c>
      <c r="G8" s="167">
        <v>76.0</v>
      </c>
      <c r="H8" s="168">
        <v>83.0</v>
      </c>
      <c r="I8" s="169">
        <v>84.0</v>
      </c>
      <c r="J8" s="177">
        <v>85.0</v>
      </c>
      <c r="K8" s="171">
        <v>85.0</v>
      </c>
      <c r="L8" s="172">
        <v>84.0</v>
      </c>
      <c r="M8" s="172"/>
      <c r="N8" s="173"/>
      <c r="O8" s="174">
        <f t="shared" si="1"/>
        <v>81</v>
      </c>
      <c r="P8" s="1">
        <f t="shared" si="2"/>
        <v>80.625</v>
      </c>
      <c r="Q8" s="1">
        <f t="shared" si="3"/>
        <v>6</v>
      </c>
      <c r="R8" s="159"/>
    </row>
    <row r="9">
      <c r="A9" s="175">
        <v>7.0</v>
      </c>
      <c r="B9" s="176" t="s">
        <v>17</v>
      </c>
      <c r="C9" s="167">
        <v>89.0</v>
      </c>
      <c r="D9" s="167">
        <v>88.0</v>
      </c>
      <c r="E9" s="167">
        <v>82.0</v>
      </c>
      <c r="F9" s="167">
        <v>82.0</v>
      </c>
      <c r="G9" s="167">
        <v>87.0</v>
      </c>
      <c r="H9" s="168">
        <v>89.0</v>
      </c>
      <c r="I9" s="169">
        <v>90.0</v>
      </c>
      <c r="J9" s="177">
        <v>89.0</v>
      </c>
      <c r="K9" s="171">
        <v>89.0</v>
      </c>
      <c r="L9" s="172">
        <v>88.0</v>
      </c>
      <c r="M9" s="172"/>
      <c r="N9" s="173"/>
      <c r="O9" s="174">
        <f t="shared" si="1"/>
        <v>87</v>
      </c>
      <c r="P9" s="1">
        <f t="shared" si="2"/>
        <v>87</v>
      </c>
      <c r="Q9" s="1">
        <f t="shared" si="3"/>
        <v>1</v>
      </c>
      <c r="R9" s="159"/>
    </row>
    <row r="10">
      <c r="A10" s="175">
        <v>8.0</v>
      </c>
      <c r="B10" s="176" t="s">
        <v>18</v>
      </c>
      <c r="C10" s="167">
        <v>81.0</v>
      </c>
      <c r="D10" s="167">
        <v>80.0</v>
      </c>
      <c r="E10" s="167">
        <v>83.0</v>
      </c>
      <c r="F10" s="167">
        <v>80.0</v>
      </c>
      <c r="G10" s="167">
        <v>80.0</v>
      </c>
      <c r="H10" s="168">
        <v>80.0</v>
      </c>
      <c r="I10" s="169">
        <v>82.0</v>
      </c>
      <c r="J10" s="177">
        <v>81.0</v>
      </c>
      <c r="K10" s="171">
        <v>82.0</v>
      </c>
      <c r="L10" s="172">
        <v>80.0</v>
      </c>
      <c r="M10" s="172"/>
      <c r="N10" s="173"/>
      <c r="O10" s="174">
        <f t="shared" si="1"/>
        <v>81</v>
      </c>
      <c r="P10" s="1">
        <f t="shared" si="2"/>
        <v>80.875</v>
      </c>
      <c r="Q10" s="1">
        <f t="shared" si="3"/>
        <v>5</v>
      </c>
      <c r="R10" s="159"/>
    </row>
    <row r="11">
      <c r="A11" s="175">
        <v>9.0</v>
      </c>
      <c r="B11" s="176" t="s">
        <v>19</v>
      </c>
      <c r="C11" s="167">
        <v>80.0</v>
      </c>
      <c r="D11" s="167">
        <v>79.0</v>
      </c>
      <c r="E11" s="167">
        <v>77.0</v>
      </c>
      <c r="F11" s="167">
        <v>76.0</v>
      </c>
      <c r="G11" s="167">
        <v>79.0</v>
      </c>
      <c r="H11" s="168">
        <v>77.0</v>
      </c>
      <c r="I11" s="169">
        <v>79.0</v>
      </c>
      <c r="J11" s="177">
        <v>78.0</v>
      </c>
      <c r="K11" s="171">
        <v>78.0</v>
      </c>
      <c r="L11" s="172">
        <v>78.0</v>
      </c>
      <c r="M11" s="172"/>
      <c r="N11" s="173"/>
      <c r="O11" s="174">
        <f t="shared" si="1"/>
        <v>78</v>
      </c>
      <c r="P11" s="1">
        <f t="shared" si="2"/>
        <v>78.125</v>
      </c>
      <c r="Q11" s="1">
        <f t="shared" si="3"/>
        <v>9</v>
      </c>
      <c r="R11" s="159"/>
    </row>
    <row r="12">
      <c r="A12" s="175">
        <v>10.0</v>
      </c>
      <c r="B12" s="176" t="s">
        <v>20</v>
      </c>
      <c r="C12" s="167">
        <v>80.0</v>
      </c>
      <c r="D12" s="167">
        <v>77.0</v>
      </c>
      <c r="E12" s="167">
        <v>76.0</v>
      </c>
      <c r="F12" s="167">
        <v>75.0</v>
      </c>
      <c r="G12" s="167">
        <v>77.0</v>
      </c>
      <c r="H12" s="168">
        <v>78.0</v>
      </c>
      <c r="I12" s="169">
        <v>80.0</v>
      </c>
      <c r="J12" s="177">
        <v>78.0</v>
      </c>
      <c r="K12" s="171">
        <v>77.0</v>
      </c>
      <c r="L12" s="172">
        <v>79.0</v>
      </c>
      <c r="M12" s="172"/>
      <c r="N12" s="173"/>
      <c r="O12" s="174">
        <f t="shared" si="1"/>
        <v>78</v>
      </c>
      <c r="P12" s="1">
        <f t="shared" si="2"/>
        <v>77.625</v>
      </c>
      <c r="Q12" s="1">
        <f t="shared" si="3"/>
        <v>10</v>
      </c>
      <c r="R12" s="159"/>
    </row>
    <row r="13">
      <c r="A13" s="175">
        <v>11.0</v>
      </c>
      <c r="B13" s="176"/>
      <c r="C13" s="167"/>
      <c r="D13" s="167"/>
      <c r="E13" s="167"/>
      <c r="F13" s="167"/>
      <c r="G13" s="167"/>
      <c r="H13" s="168"/>
      <c r="I13" s="169"/>
      <c r="J13" s="177"/>
      <c r="K13" s="171"/>
      <c r="L13" s="172"/>
      <c r="M13" s="172"/>
      <c r="N13" s="173"/>
      <c r="O13" s="174">
        <f t="shared" si="1"/>
        <v>0</v>
      </c>
      <c r="P13" s="1">
        <f t="shared" si="2"/>
        <v>0</v>
      </c>
      <c r="Q13" s="1">
        <f t="shared" si="3"/>
        <v>11</v>
      </c>
      <c r="R13" s="159"/>
    </row>
    <row r="14">
      <c r="A14" s="175">
        <v>12.0</v>
      </c>
      <c r="B14" s="176"/>
      <c r="C14" s="167"/>
      <c r="D14" s="167"/>
      <c r="E14" s="167"/>
      <c r="F14" s="167"/>
      <c r="G14" s="167"/>
      <c r="H14" s="168"/>
      <c r="I14" s="169"/>
      <c r="J14" s="177"/>
      <c r="K14" s="171"/>
      <c r="L14" s="172"/>
      <c r="M14" s="172"/>
      <c r="N14" s="173"/>
      <c r="O14" s="174">
        <f t="shared" si="1"/>
        <v>0</v>
      </c>
      <c r="P14" s="1">
        <f t="shared" si="2"/>
        <v>0</v>
      </c>
      <c r="Q14" s="1">
        <f t="shared" si="3"/>
        <v>11</v>
      </c>
      <c r="R14" s="159"/>
    </row>
    <row r="15">
      <c r="A15" s="175">
        <v>13.0</v>
      </c>
      <c r="B15" s="176"/>
      <c r="C15" s="167"/>
      <c r="D15" s="167"/>
      <c r="E15" s="167"/>
      <c r="F15" s="167"/>
      <c r="G15" s="167"/>
      <c r="H15" s="168"/>
      <c r="I15" s="169"/>
      <c r="J15" s="177"/>
      <c r="K15" s="171"/>
      <c r="L15" s="172"/>
      <c r="M15" s="172"/>
      <c r="N15" s="173"/>
      <c r="O15" s="174">
        <f t="shared" si="1"/>
        <v>0</v>
      </c>
      <c r="P15" s="1">
        <f t="shared" si="2"/>
        <v>0</v>
      </c>
      <c r="Q15" s="1">
        <f t="shared" si="3"/>
        <v>11</v>
      </c>
      <c r="R15" s="159"/>
    </row>
    <row r="16">
      <c r="A16" s="175">
        <v>14.0</v>
      </c>
      <c r="B16" s="176"/>
      <c r="C16" s="167"/>
      <c r="D16" s="167"/>
      <c r="E16" s="167"/>
      <c r="F16" s="167"/>
      <c r="G16" s="167"/>
      <c r="H16" s="168"/>
      <c r="I16" s="169"/>
      <c r="J16" s="177"/>
      <c r="K16" s="171"/>
      <c r="L16" s="172"/>
      <c r="M16" s="172"/>
      <c r="N16" s="173"/>
      <c r="O16" s="174">
        <f t="shared" si="1"/>
        <v>0</v>
      </c>
      <c r="P16" s="1">
        <f t="shared" si="2"/>
        <v>0</v>
      </c>
      <c r="Q16" s="1">
        <f t="shared" si="3"/>
        <v>11</v>
      </c>
      <c r="R16" s="159"/>
    </row>
    <row r="17">
      <c r="A17" s="175">
        <v>15.0</v>
      </c>
      <c r="B17" s="178"/>
      <c r="C17" s="167"/>
      <c r="D17" s="167"/>
      <c r="E17" s="167"/>
      <c r="F17" s="167"/>
      <c r="G17" s="167"/>
      <c r="H17" s="168"/>
      <c r="I17" s="169"/>
      <c r="J17" s="177"/>
      <c r="K17" s="171"/>
      <c r="L17" s="172"/>
      <c r="M17" s="172"/>
      <c r="N17" s="173"/>
      <c r="O17" s="174">
        <f t="shared" si="1"/>
        <v>0</v>
      </c>
      <c r="P17" s="1">
        <f t="shared" si="2"/>
        <v>0</v>
      </c>
      <c r="Q17" s="1">
        <f t="shared" si="3"/>
        <v>11</v>
      </c>
      <c r="R17" s="159"/>
    </row>
    <row r="18">
      <c r="A18" s="175">
        <v>16.0</v>
      </c>
      <c r="B18" s="176"/>
      <c r="C18" s="167"/>
      <c r="D18" s="167"/>
      <c r="E18" s="167"/>
      <c r="F18" s="167"/>
      <c r="G18" s="167"/>
      <c r="H18" s="168"/>
      <c r="I18" s="169"/>
      <c r="J18" s="177"/>
      <c r="K18" s="171"/>
      <c r="L18" s="172"/>
      <c r="M18" s="172"/>
      <c r="N18" s="173"/>
      <c r="O18" s="174">
        <f t="shared" si="1"/>
        <v>0</v>
      </c>
      <c r="P18" s="1">
        <f t="shared" si="2"/>
        <v>0</v>
      </c>
      <c r="Q18" s="1">
        <f t="shared" si="3"/>
        <v>11</v>
      </c>
      <c r="R18" s="159"/>
    </row>
    <row r="19">
      <c r="A19" s="175">
        <v>17.0</v>
      </c>
      <c r="B19" s="176"/>
      <c r="C19" s="167"/>
      <c r="D19" s="167"/>
      <c r="E19" s="167"/>
      <c r="F19" s="167"/>
      <c r="G19" s="167"/>
      <c r="H19" s="168"/>
      <c r="I19" s="169"/>
      <c r="J19" s="177"/>
      <c r="K19" s="171"/>
      <c r="L19" s="172"/>
      <c r="M19" s="172"/>
      <c r="N19" s="173"/>
      <c r="O19" s="174">
        <f t="shared" si="1"/>
        <v>0</v>
      </c>
      <c r="P19" s="100">
        <f t="shared" si="2"/>
        <v>0</v>
      </c>
      <c r="Q19" s="1">
        <f t="shared" si="3"/>
        <v>11</v>
      </c>
      <c r="R19" s="159"/>
    </row>
    <row r="20">
      <c r="A20" s="175">
        <v>18.0</v>
      </c>
      <c r="B20" s="176"/>
      <c r="C20" s="167"/>
      <c r="D20" s="167"/>
      <c r="E20" s="167"/>
      <c r="F20" s="167"/>
      <c r="G20" s="167"/>
      <c r="H20" s="168"/>
      <c r="I20" s="169"/>
      <c r="J20" s="177"/>
      <c r="K20" s="171"/>
      <c r="L20" s="172"/>
      <c r="M20" s="172"/>
      <c r="N20" s="173"/>
      <c r="O20" s="174">
        <f t="shared" si="1"/>
        <v>0</v>
      </c>
      <c r="P20" s="1">
        <f t="shared" si="2"/>
        <v>0</v>
      </c>
      <c r="Q20" s="1">
        <f t="shared" si="3"/>
        <v>11</v>
      </c>
      <c r="R20" s="159"/>
    </row>
    <row r="21" ht="15.75" customHeight="1">
      <c r="A21" s="175">
        <v>19.0</v>
      </c>
      <c r="B21" s="179"/>
      <c r="C21" s="167"/>
      <c r="D21" s="167"/>
      <c r="E21" s="167"/>
      <c r="F21" s="167"/>
      <c r="G21" s="167"/>
      <c r="H21" s="168"/>
      <c r="I21" s="169"/>
      <c r="J21" s="177"/>
      <c r="K21" s="171"/>
      <c r="L21" s="172"/>
      <c r="M21" s="172"/>
      <c r="N21" s="173"/>
      <c r="O21" s="174">
        <f t="shared" si="1"/>
        <v>0</v>
      </c>
      <c r="P21" s="1">
        <f t="shared" si="2"/>
        <v>0</v>
      </c>
      <c r="Q21" s="1">
        <f t="shared" si="3"/>
        <v>11</v>
      </c>
      <c r="R21" s="159"/>
    </row>
    <row r="22" ht="15.75" customHeight="1">
      <c r="A22" s="175">
        <v>20.0</v>
      </c>
      <c r="B22" s="179"/>
      <c r="C22" s="167"/>
      <c r="D22" s="167"/>
      <c r="E22" s="167"/>
      <c r="F22" s="167"/>
      <c r="G22" s="167"/>
      <c r="H22" s="168"/>
      <c r="I22" s="169"/>
      <c r="J22" s="177"/>
      <c r="K22" s="171"/>
      <c r="L22" s="172"/>
      <c r="M22" s="172"/>
      <c r="N22" s="173"/>
      <c r="O22" s="174">
        <f t="shared" si="1"/>
        <v>0</v>
      </c>
      <c r="P22" s="1">
        <f t="shared" si="2"/>
        <v>0</v>
      </c>
      <c r="Q22" s="1">
        <f t="shared" si="3"/>
        <v>11</v>
      </c>
      <c r="R22" s="159"/>
    </row>
    <row r="23" ht="15.75" customHeight="1">
      <c r="A23" s="175">
        <v>21.0</v>
      </c>
      <c r="B23" s="179"/>
      <c r="C23" s="167"/>
      <c r="D23" s="167"/>
      <c r="E23" s="167"/>
      <c r="F23" s="167"/>
      <c r="G23" s="167"/>
      <c r="H23" s="168"/>
      <c r="I23" s="169"/>
      <c r="J23" s="177"/>
      <c r="K23" s="171"/>
      <c r="L23" s="172"/>
      <c r="M23" s="172"/>
      <c r="N23" s="173"/>
      <c r="O23" s="174">
        <f t="shared" si="1"/>
        <v>0</v>
      </c>
      <c r="P23" s="1">
        <f t="shared" si="2"/>
        <v>0</v>
      </c>
      <c r="Q23" s="1">
        <f t="shared" si="3"/>
        <v>11</v>
      </c>
      <c r="R23" s="159"/>
    </row>
    <row r="24" ht="15.75" customHeight="1">
      <c r="A24" s="175">
        <v>22.0</v>
      </c>
      <c r="B24" s="179"/>
      <c r="C24" s="167"/>
      <c r="D24" s="167"/>
      <c r="E24" s="167"/>
      <c r="F24" s="167"/>
      <c r="G24" s="167"/>
      <c r="H24" s="168"/>
      <c r="I24" s="169"/>
      <c r="J24" s="177"/>
      <c r="K24" s="171"/>
      <c r="L24" s="172"/>
      <c r="M24" s="172"/>
      <c r="N24" s="173"/>
      <c r="O24" s="174">
        <f t="shared" si="1"/>
        <v>0</v>
      </c>
      <c r="P24" s="1">
        <f t="shared" si="2"/>
        <v>0</v>
      </c>
      <c r="Q24" s="1">
        <f t="shared" si="3"/>
        <v>11</v>
      </c>
      <c r="R24" s="159"/>
    </row>
    <row r="25" ht="15.75" customHeight="1">
      <c r="A25" s="175">
        <v>23.0</v>
      </c>
      <c r="B25" s="180"/>
      <c r="C25" s="181"/>
      <c r="D25" s="181"/>
      <c r="E25" s="181"/>
      <c r="F25" s="181"/>
      <c r="G25" s="181"/>
      <c r="H25" s="182"/>
      <c r="I25" s="181"/>
      <c r="J25" s="181"/>
      <c r="K25" s="183"/>
      <c r="L25" s="183"/>
      <c r="M25" s="183"/>
      <c r="N25" s="183"/>
      <c r="O25" s="174">
        <f t="shared" si="1"/>
        <v>0</v>
      </c>
      <c r="P25" s="1">
        <f t="shared" si="2"/>
        <v>0</v>
      </c>
      <c r="Q25" s="1">
        <f t="shared" si="3"/>
        <v>11</v>
      </c>
      <c r="R25" s="159"/>
    </row>
    <row r="26" ht="15.75" customHeight="1">
      <c r="A26" s="175">
        <v>24.0</v>
      </c>
      <c r="B26" s="180"/>
      <c r="C26" s="181"/>
      <c r="D26" s="181"/>
      <c r="E26" s="181"/>
      <c r="F26" s="181"/>
      <c r="G26" s="181"/>
      <c r="H26" s="182"/>
      <c r="I26" s="181"/>
      <c r="J26" s="181"/>
      <c r="K26" s="183"/>
      <c r="L26" s="183"/>
      <c r="M26" s="183"/>
      <c r="N26" s="183"/>
      <c r="O26" s="174">
        <f t="shared" si="1"/>
        <v>0</v>
      </c>
      <c r="P26" s="1">
        <f t="shared" si="2"/>
        <v>0</v>
      </c>
      <c r="Q26" s="1">
        <f t="shared" si="3"/>
        <v>11</v>
      </c>
      <c r="R26" s="159"/>
    </row>
    <row r="27" ht="15.75" customHeight="1">
      <c r="A27" s="175">
        <v>25.0</v>
      </c>
      <c r="B27" s="180"/>
      <c r="C27" s="181"/>
      <c r="D27" s="181"/>
      <c r="E27" s="181"/>
      <c r="F27" s="181"/>
      <c r="G27" s="181"/>
      <c r="H27" s="182"/>
      <c r="I27" s="181"/>
      <c r="J27" s="181"/>
      <c r="K27" s="183"/>
      <c r="L27" s="183"/>
      <c r="M27" s="183"/>
      <c r="N27" s="183"/>
      <c r="O27" s="174">
        <f t="shared" si="1"/>
        <v>0</v>
      </c>
      <c r="P27" s="1">
        <f t="shared" si="2"/>
        <v>0</v>
      </c>
      <c r="Q27" s="1">
        <f t="shared" si="3"/>
        <v>11</v>
      </c>
      <c r="R27" s="159"/>
    </row>
    <row r="28" ht="15.75" customHeight="1">
      <c r="A28" s="175">
        <v>26.0</v>
      </c>
      <c r="B28" s="184"/>
      <c r="C28" s="181"/>
      <c r="D28" s="181"/>
      <c r="E28" s="181"/>
      <c r="F28" s="181"/>
      <c r="G28" s="181"/>
      <c r="H28" s="182"/>
      <c r="I28" s="181"/>
      <c r="J28" s="181"/>
      <c r="K28" s="183"/>
      <c r="L28" s="183"/>
      <c r="M28" s="183"/>
      <c r="N28" s="183"/>
      <c r="O28" s="174">
        <f t="shared" si="1"/>
        <v>0</v>
      </c>
      <c r="P28" s="1">
        <f t="shared" si="2"/>
        <v>0</v>
      </c>
      <c r="Q28" s="1">
        <f t="shared" si="3"/>
        <v>11</v>
      </c>
      <c r="R28" s="159"/>
    </row>
    <row r="29" ht="15.75" customHeight="1">
      <c r="A29" s="175">
        <v>27.0</v>
      </c>
      <c r="B29" s="184"/>
      <c r="C29" s="181"/>
      <c r="D29" s="181"/>
      <c r="E29" s="181"/>
      <c r="F29" s="181"/>
      <c r="G29" s="181"/>
      <c r="H29" s="182"/>
      <c r="I29" s="181"/>
      <c r="J29" s="181"/>
      <c r="K29" s="183"/>
      <c r="L29" s="183"/>
      <c r="M29" s="183"/>
      <c r="N29" s="183"/>
      <c r="O29" s="174">
        <f t="shared" si="1"/>
        <v>0</v>
      </c>
      <c r="P29" s="1">
        <f t="shared" si="2"/>
        <v>0</v>
      </c>
      <c r="Q29" s="1">
        <f t="shared" si="3"/>
        <v>11</v>
      </c>
      <c r="R29" s="159"/>
    </row>
    <row r="30" ht="15.75" customHeight="1">
      <c r="A30" s="175">
        <v>28.0</v>
      </c>
      <c r="B30" s="180"/>
      <c r="C30" s="181"/>
      <c r="D30" s="181"/>
      <c r="E30" s="181"/>
      <c r="F30" s="181"/>
      <c r="G30" s="181"/>
      <c r="H30" s="182"/>
      <c r="I30" s="181"/>
      <c r="J30" s="181"/>
      <c r="K30" s="183"/>
      <c r="L30" s="183"/>
      <c r="M30" s="183"/>
      <c r="N30" s="183"/>
      <c r="O30" s="174">
        <f t="shared" si="1"/>
        <v>0</v>
      </c>
      <c r="P30" s="1">
        <f t="shared" si="2"/>
        <v>0</v>
      </c>
      <c r="Q30" s="1">
        <f t="shared" si="3"/>
        <v>11</v>
      </c>
      <c r="R30" s="159"/>
    </row>
    <row r="31" ht="15.75" customHeight="1">
      <c r="A31" s="175">
        <v>29.0</v>
      </c>
      <c r="B31" s="180"/>
      <c r="C31" s="181"/>
      <c r="D31" s="181"/>
      <c r="E31" s="181"/>
      <c r="F31" s="181"/>
      <c r="G31" s="181"/>
      <c r="H31" s="182"/>
      <c r="I31" s="181"/>
      <c r="J31" s="181"/>
      <c r="K31" s="183"/>
      <c r="L31" s="183"/>
      <c r="M31" s="183"/>
      <c r="N31" s="183"/>
      <c r="O31" s="174">
        <f t="shared" si="1"/>
        <v>0</v>
      </c>
      <c r="P31" s="1">
        <f t="shared" si="2"/>
        <v>0</v>
      </c>
      <c r="Q31" s="1">
        <f t="shared" si="3"/>
        <v>11</v>
      </c>
      <c r="R31" s="159"/>
    </row>
    <row r="32" ht="15.75" customHeight="1">
      <c r="A32" s="175">
        <v>30.0</v>
      </c>
      <c r="B32" s="180"/>
      <c r="C32" s="181"/>
      <c r="D32" s="181"/>
      <c r="E32" s="181"/>
      <c r="F32" s="181"/>
      <c r="G32" s="181"/>
      <c r="H32" s="182"/>
      <c r="I32" s="181"/>
      <c r="J32" s="181"/>
      <c r="K32" s="183"/>
      <c r="L32" s="183"/>
      <c r="M32" s="183"/>
      <c r="N32" s="183"/>
      <c r="O32" s="174">
        <f t="shared" si="1"/>
        <v>0</v>
      </c>
      <c r="P32" s="100">
        <f t="shared" si="2"/>
        <v>0</v>
      </c>
      <c r="Q32" s="1">
        <f t="shared" si="3"/>
        <v>11</v>
      </c>
      <c r="R32" s="159"/>
    </row>
    <row r="33" ht="15.75" customHeight="1">
      <c r="A33" s="175">
        <v>31.0</v>
      </c>
      <c r="B33" s="180"/>
      <c r="C33" s="181"/>
      <c r="D33" s="181"/>
      <c r="E33" s="181"/>
      <c r="F33" s="181"/>
      <c r="G33" s="181"/>
      <c r="H33" s="182"/>
      <c r="I33" s="181"/>
      <c r="J33" s="181"/>
      <c r="K33" s="183"/>
      <c r="L33" s="183"/>
      <c r="M33" s="183"/>
      <c r="N33" s="183"/>
      <c r="O33" s="174">
        <f t="shared" si="1"/>
        <v>0</v>
      </c>
      <c r="P33" s="100">
        <f t="shared" si="2"/>
        <v>0</v>
      </c>
      <c r="Q33" s="1">
        <f t="shared" si="3"/>
        <v>11</v>
      </c>
      <c r="R33" s="159"/>
    </row>
    <row r="34" ht="15.75" customHeight="1">
      <c r="A34" s="175">
        <v>32.0</v>
      </c>
      <c r="B34" s="180"/>
      <c r="C34" s="181"/>
      <c r="D34" s="181"/>
      <c r="E34" s="181"/>
      <c r="F34" s="181"/>
      <c r="G34" s="181"/>
      <c r="H34" s="182"/>
      <c r="I34" s="181"/>
      <c r="J34" s="181"/>
      <c r="K34" s="183"/>
      <c r="L34" s="183"/>
      <c r="M34" s="183"/>
      <c r="N34" s="183"/>
      <c r="O34" s="174">
        <f t="shared" si="1"/>
        <v>0</v>
      </c>
      <c r="P34" s="1">
        <f t="shared" si="2"/>
        <v>0</v>
      </c>
      <c r="Q34" s="1">
        <f t="shared" si="3"/>
        <v>11</v>
      </c>
      <c r="R34" s="159"/>
    </row>
    <row r="35" ht="15.75" customHeight="1">
      <c r="A35" s="175">
        <v>33.0</v>
      </c>
      <c r="B35" s="184"/>
      <c r="C35" s="185"/>
      <c r="D35" s="185"/>
      <c r="E35" s="185"/>
      <c r="F35" s="185"/>
      <c r="G35" s="185"/>
      <c r="H35" s="186"/>
      <c r="I35" s="185"/>
      <c r="J35" s="185"/>
      <c r="K35" s="187"/>
      <c r="L35" s="187"/>
      <c r="M35" s="187"/>
      <c r="N35" s="187"/>
      <c r="O35" s="174">
        <f t="shared" si="1"/>
        <v>0</v>
      </c>
      <c r="P35" s="1">
        <f t="shared" si="2"/>
        <v>0</v>
      </c>
      <c r="Q35" s="1">
        <f t="shared" si="3"/>
        <v>11</v>
      </c>
      <c r="R35" s="159"/>
    </row>
    <row r="36" ht="15.75" customHeight="1">
      <c r="A36" s="175">
        <v>34.0</v>
      </c>
      <c r="B36" s="188"/>
      <c r="C36" s="189"/>
      <c r="D36" s="189"/>
      <c r="E36" s="189"/>
      <c r="F36" s="189"/>
      <c r="G36" s="189"/>
      <c r="H36" s="190"/>
      <c r="I36" s="189"/>
      <c r="J36" s="189"/>
      <c r="K36" s="191"/>
      <c r="L36" s="191"/>
      <c r="M36" s="191"/>
      <c r="N36" s="191"/>
      <c r="O36" s="192">
        <f t="shared" si="1"/>
        <v>0</v>
      </c>
      <c r="P36" s="1">
        <f t="shared" si="2"/>
        <v>0</v>
      </c>
      <c r="Q36" s="1">
        <f t="shared" si="3"/>
        <v>11</v>
      </c>
      <c r="R36" s="159"/>
    </row>
    <row r="37" ht="15.75" customHeight="1">
      <c r="A37" s="175">
        <v>35.0</v>
      </c>
      <c r="B37" s="184"/>
      <c r="C37" s="185"/>
      <c r="D37" s="185"/>
      <c r="E37" s="185"/>
      <c r="F37" s="185"/>
      <c r="G37" s="185"/>
      <c r="H37" s="186"/>
      <c r="I37" s="185"/>
      <c r="J37" s="185"/>
      <c r="K37" s="187"/>
      <c r="L37" s="187"/>
      <c r="M37" s="187"/>
      <c r="N37" s="187"/>
      <c r="O37" s="174">
        <f t="shared" si="1"/>
        <v>0</v>
      </c>
      <c r="P37" s="1">
        <f t="shared" si="2"/>
        <v>0</v>
      </c>
      <c r="Q37" s="1">
        <f t="shared" si="3"/>
        <v>11</v>
      </c>
      <c r="R37" s="159"/>
    </row>
    <row r="38" ht="15.75" customHeight="1">
      <c r="A38" s="175">
        <v>36.0</v>
      </c>
      <c r="B38" s="184"/>
      <c r="C38" s="185"/>
      <c r="D38" s="185"/>
      <c r="E38" s="185"/>
      <c r="F38" s="185"/>
      <c r="G38" s="185"/>
      <c r="H38" s="186"/>
      <c r="I38" s="185"/>
      <c r="J38" s="185"/>
      <c r="K38" s="187"/>
      <c r="L38" s="187"/>
      <c r="M38" s="187"/>
      <c r="N38" s="187"/>
      <c r="O38" s="174">
        <f t="shared" si="1"/>
        <v>0</v>
      </c>
      <c r="P38" s="1">
        <f t="shared" si="2"/>
        <v>0</v>
      </c>
      <c r="Q38" s="1">
        <f t="shared" si="3"/>
        <v>11</v>
      </c>
      <c r="R38" s="159"/>
    </row>
    <row r="39" ht="15.75" customHeight="1">
      <c r="A39" s="175">
        <v>37.0</v>
      </c>
      <c r="B39" s="184"/>
      <c r="C39" s="185"/>
      <c r="D39" s="185"/>
      <c r="E39" s="185"/>
      <c r="F39" s="185"/>
      <c r="G39" s="185"/>
      <c r="H39" s="186"/>
      <c r="I39" s="185"/>
      <c r="J39" s="185"/>
      <c r="K39" s="187"/>
      <c r="L39" s="187"/>
      <c r="M39" s="187"/>
      <c r="N39" s="187"/>
      <c r="O39" s="174">
        <f t="shared" si="1"/>
        <v>0</v>
      </c>
      <c r="P39" s="1">
        <f t="shared" si="2"/>
        <v>0</v>
      </c>
      <c r="Q39" s="1">
        <f t="shared" si="3"/>
        <v>11</v>
      </c>
      <c r="R39" s="159"/>
    </row>
    <row r="40" ht="15.75" customHeight="1">
      <c r="A40" s="175">
        <v>38.0</v>
      </c>
      <c r="B40" s="184"/>
      <c r="C40" s="185"/>
      <c r="D40" s="185"/>
      <c r="E40" s="185"/>
      <c r="F40" s="185"/>
      <c r="G40" s="185"/>
      <c r="H40" s="186"/>
      <c r="I40" s="185"/>
      <c r="J40" s="185"/>
      <c r="K40" s="187"/>
      <c r="L40" s="187"/>
      <c r="M40" s="187"/>
      <c r="N40" s="187"/>
      <c r="O40" s="174">
        <f t="shared" si="1"/>
        <v>0</v>
      </c>
      <c r="P40" s="1">
        <f t="shared" si="2"/>
        <v>0</v>
      </c>
      <c r="Q40" s="1">
        <f t="shared" si="3"/>
        <v>11</v>
      </c>
      <c r="R40" s="159"/>
    </row>
    <row r="41" ht="15.75" customHeight="1">
      <c r="A41" s="175">
        <v>39.0</v>
      </c>
      <c r="B41" s="184"/>
      <c r="C41" s="185"/>
      <c r="D41" s="185"/>
      <c r="E41" s="185"/>
      <c r="F41" s="185"/>
      <c r="G41" s="185"/>
      <c r="H41" s="186"/>
      <c r="I41" s="185"/>
      <c r="J41" s="185"/>
      <c r="K41" s="187"/>
      <c r="L41" s="187"/>
      <c r="M41" s="187"/>
      <c r="N41" s="187"/>
      <c r="O41" s="174">
        <f t="shared" si="1"/>
        <v>0</v>
      </c>
      <c r="P41" s="1">
        <f t="shared" si="2"/>
        <v>0</v>
      </c>
      <c r="Q41" s="1">
        <f t="shared" si="3"/>
        <v>11</v>
      </c>
      <c r="R41" s="159"/>
    </row>
    <row r="42" ht="15.75" customHeight="1">
      <c r="A42" s="175">
        <v>40.0</v>
      </c>
      <c r="B42" s="193"/>
      <c r="C42" s="185"/>
      <c r="D42" s="185"/>
      <c r="E42" s="185"/>
      <c r="F42" s="185"/>
      <c r="G42" s="185"/>
      <c r="H42" s="186"/>
      <c r="I42" s="185"/>
      <c r="J42" s="185"/>
      <c r="K42" s="187"/>
      <c r="L42" s="187"/>
      <c r="M42" s="187"/>
      <c r="N42" s="187"/>
      <c r="O42" s="174">
        <f t="shared" si="1"/>
        <v>0</v>
      </c>
      <c r="P42" s="1">
        <f t="shared" si="2"/>
        <v>0</v>
      </c>
      <c r="Q42" s="1">
        <f t="shared" si="3"/>
        <v>11</v>
      </c>
      <c r="R42" s="159"/>
    </row>
    <row r="43" ht="15.75" customHeight="1">
      <c r="A43" s="175">
        <v>41.0</v>
      </c>
      <c r="B43" s="193"/>
      <c r="C43" s="185"/>
      <c r="D43" s="185"/>
      <c r="E43" s="185"/>
      <c r="F43" s="185"/>
      <c r="G43" s="185"/>
      <c r="H43" s="186"/>
      <c r="I43" s="185"/>
      <c r="J43" s="185"/>
      <c r="K43" s="187"/>
      <c r="L43" s="187"/>
      <c r="M43" s="187"/>
      <c r="N43" s="187"/>
      <c r="O43" s="174">
        <f t="shared" si="1"/>
        <v>0</v>
      </c>
      <c r="P43" s="1">
        <f t="shared" si="2"/>
        <v>0</v>
      </c>
      <c r="Q43" s="1">
        <f t="shared" si="3"/>
        <v>11</v>
      </c>
      <c r="R43" s="159"/>
    </row>
    <row r="44" ht="15.75" customHeight="1">
      <c r="A44" s="194"/>
      <c r="C44" s="1" t="s">
        <v>151</v>
      </c>
      <c r="E44" s="1" t="s">
        <v>151</v>
      </c>
      <c r="O44" s="10"/>
      <c r="R44" s="159"/>
    </row>
    <row r="45" ht="15.75" customHeight="1">
      <c r="A45" s="194"/>
      <c r="C45" s="1" t="s">
        <v>151</v>
      </c>
      <c r="E45" s="1" t="s">
        <v>151</v>
      </c>
      <c r="O45" s="10"/>
      <c r="R45" s="159"/>
    </row>
    <row r="46" ht="15.75" customHeight="1">
      <c r="A46" s="194"/>
      <c r="C46" s="1" t="s">
        <v>151</v>
      </c>
      <c r="E46" s="1" t="s">
        <v>151</v>
      </c>
      <c r="O46" s="10"/>
      <c r="R46" s="159"/>
    </row>
    <row r="47" ht="15.75" customHeight="1">
      <c r="A47" s="194"/>
      <c r="C47" s="1" t="s">
        <v>151</v>
      </c>
      <c r="E47" s="1" t="s">
        <v>151</v>
      </c>
      <c r="O47" s="10"/>
      <c r="R47" s="159"/>
    </row>
    <row r="48" ht="15.75" customHeight="1">
      <c r="A48" s="194"/>
      <c r="C48" s="1" t="s">
        <v>151</v>
      </c>
      <c r="E48" s="1" t="s">
        <v>151</v>
      </c>
      <c r="O48" s="10"/>
      <c r="R48" s="159"/>
    </row>
    <row r="49" ht="15.75" customHeight="1">
      <c r="A49" s="194"/>
      <c r="C49" s="1" t="s">
        <v>151</v>
      </c>
      <c r="E49" s="1" t="s">
        <v>151</v>
      </c>
      <c r="O49" s="10"/>
      <c r="R49" s="159"/>
    </row>
    <row r="50" ht="15.75" customHeight="1">
      <c r="A50" s="194"/>
      <c r="C50" s="1" t="s">
        <v>151</v>
      </c>
      <c r="E50" s="1" t="s">
        <v>151</v>
      </c>
      <c r="O50" s="10"/>
      <c r="R50" s="159"/>
    </row>
    <row r="51" ht="15.75" customHeight="1">
      <c r="A51" s="194"/>
      <c r="C51" s="1" t="s">
        <v>151</v>
      </c>
      <c r="E51" s="1" t="s">
        <v>151</v>
      </c>
      <c r="O51" s="10"/>
      <c r="R51" s="159"/>
    </row>
    <row r="52" ht="15.75" customHeight="1">
      <c r="A52" s="194"/>
      <c r="C52" s="1" t="s">
        <v>151</v>
      </c>
      <c r="E52" s="1" t="s">
        <v>151</v>
      </c>
      <c r="O52" s="10"/>
      <c r="R52" s="159"/>
    </row>
    <row r="53" ht="15.75" customHeight="1">
      <c r="A53" s="195"/>
      <c r="B53" s="196"/>
      <c r="C53" s="196" t="s">
        <v>151</v>
      </c>
      <c r="D53" s="196"/>
      <c r="E53" s="196" t="s">
        <v>151</v>
      </c>
      <c r="F53" s="196"/>
      <c r="G53" s="196"/>
      <c r="H53" s="196"/>
      <c r="I53" s="196"/>
      <c r="J53" s="196"/>
      <c r="K53" s="196"/>
      <c r="L53" s="196"/>
      <c r="M53" s="196"/>
      <c r="N53" s="196"/>
      <c r="O53" s="197"/>
      <c r="R53" s="159"/>
    </row>
    <row r="54" ht="15.75" customHeight="1">
      <c r="C54" s="1" t="s">
        <v>151</v>
      </c>
      <c r="E54" s="1" t="s">
        <v>151</v>
      </c>
      <c r="R54" s="159"/>
    </row>
    <row r="55" ht="15.75" customHeight="1">
      <c r="C55" s="1" t="s">
        <v>151</v>
      </c>
      <c r="E55" s="1" t="s">
        <v>151</v>
      </c>
      <c r="R55" s="159"/>
    </row>
    <row r="56" ht="15.75" customHeight="1">
      <c r="C56" s="1" t="s">
        <v>151</v>
      </c>
      <c r="E56" s="1" t="s">
        <v>151</v>
      </c>
      <c r="R56" s="159"/>
    </row>
    <row r="57" ht="15.75" customHeight="1">
      <c r="C57" s="1" t="s">
        <v>151</v>
      </c>
      <c r="E57" s="1" t="s">
        <v>151</v>
      </c>
      <c r="R57" s="159"/>
    </row>
    <row r="58" ht="15.75" customHeight="1">
      <c r="C58" s="1" t="s">
        <v>151</v>
      </c>
      <c r="E58" s="1" t="s">
        <v>151</v>
      </c>
      <c r="R58" s="159"/>
    </row>
    <row r="59" ht="15.75" customHeight="1">
      <c r="C59" s="1" t="s">
        <v>151</v>
      </c>
      <c r="E59" s="1" t="s">
        <v>151</v>
      </c>
      <c r="R59" s="159"/>
    </row>
    <row r="60" ht="15.75" customHeight="1">
      <c r="C60" s="1" t="s">
        <v>151</v>
      </c>
      <c r="E60" s="1" t="s">
        <v>151</v>
      </c>
      <c r="R60" s="159"/>
    </row>
    <row r="61" ht="15.75" customHeight="1">
      <c r="R61" s="159"/>
    </row>
    <row r="62" ht="15.75" customHeight="1">
      <c r="R62" s="159"/>
    </row>
    <row r="63" ht="15.75" customHeight="1">
      <c r="R63" s="159"/>
    </row>
    <row r="64" ht="15.75" customHeight="1">
      <c r="R64" s="159"/>
    </row>
    <row r="65" ht="15.75" customHeight="1">
      <c r="R65" s="159"/>
    </row>
    <row r="66" ht="15.75" customHeight="1">
      <c r="R66" s="159"/>
    </row>
    <row r="67" ht="15.75" customHeight="1">
      <c r="R67" s="159"/>
    </row>
    <row r="68" ht="15.75" customHeight="1">
      <c r="R68" s="159"/>
    </row>
    <row r="69" ht="15.75" customHeight="1">
      <c r="R69" s="159"/>
    </row>
    <row r="70" ht="15.75" customHeight="1">
      <c r="R70" s="159"/>
    </row>
    <row r="71" ht="15.75" customHeight="1">
      <c r="R71" s="159"/>
    </row>
    <row r="72" ht="15.75" customHeight="1">
      <c r="R72" s="159"/>
    </row>
    <row r="73" ht="15.75" customHeight="1">
      <c r="R73" s="159"/>
    </row>
    <row r="74" ht="15.75" customHeight="1">
      <c r="R74" s="159"/>
    </row>
    <row r="75" ht="15.75" customHeight="1">
      <c r="R75" s="159"/>
    </row>
    <row r="76" ht="15.75" customHeight="1">
      <c r="R76" s="159"/>
    </row>
    <row r="77" ht="15.75" customHeight="1">
      <c r="R77" s="159"/>
    </row>
    <row r="78" ht="15.75" customHeight="1">
      <c r="R78" s="159"/>
    </row>
    <row r="79" ht="15.75" customHeight="1">
      <c r="R79" s="159"/>
    </row>
    <row r="80" ht="15.75" customHeight="1">
      <c r="R80" s="159"/>
    </row>
    <row r="81" ht="15.75" customHeight="1">
      <c r="R81" s="159"/>
    </row>
    <row r="82" ht="15.75" customHeight="1">
      <c r="R82" s="159"/>
    </row>
    <row r="83" ht="15.75" customHeight="1">
      <c r="R83" s="159"/>
    </row>
    <row r="84" ht="15.75" customHeight="1">
      <c r="R84" s="159"/>
    </row>
    <row r="85" ht="15.75" customHeight="1">
      <c r="R85" s="159"/>
    </row>
    <row r="86" ht="15.75" customHeight="1">
      <c r="R86" s="159"/>
    </row>
    <row r="87" ht="15.75" customHeight="1">
      <c r="R87" s="159"/>
    </row>
    <row r="88" ht="15.75" customHeight="1">
      <c r="R88" s="159"/>
    </row>
    <row r="89" ht="15.75" customHeight="1">
      <c r="R89" s="159"/>
    </row>
    <row r="90" ht="15.75" customHeight="1">
      <c r="R90" s="159"/>
    </row>
    <row r="91" ht="15.75" customHeight="1">
      <c r="R91" s="159"/>
    </row>
    <row r="92" ht="15.75" customHeight="1">
      <c r="R92" s="159"/>
    </row>
    <row r="93" ht="15.75" customHeight="1">
      <c r="R93" s="159"/>
    </row>
    <row r="94" ht="15.75" customHeight="1">
      <c r="R94" s="159"/>
    </row>
    <row r="95" ht="15.75" customHeight="1">
      <c r="R95" s="159"/>
    </row>
    <row r="96" ht="15.75" customHeight="1">
      <c r="R96" s="159"/>
    </row>
    <row r="97" ht="15.75" customHeight="1">
      <c r="R97" s="159"/>
    </row>
    <row r="98" ht="15.75" customHeight="1">
      <c r="R98" s="159"/>
    </row>
    <row r="99" ht="15.75" customHeight="1">
      <c r="R99" s="159"/>
    </row>
    <row r="100" ht="15.75" customHeight="1">
      <c r="R100" s="159"/>
    </row>
    <row r="101" ht="15.75" customHeight="1">
      <c r="R101" s="159"/>
    </row>
    <row r="102" ht="15.75" customHeight="1">
      <c r="R102" s="159"/>
    </row>
    <row r="103" ht="15.75" customHeight="1">
      <c r="R103" s="159"/>
    </row>
    <row r="104" ht="15.75" customHeight="1">
      <c r="R104" s="159"/>
    </row>
    <row r="105" ht="15.75" customHeight="1">
      <c r="R105" s="159"/>
    </row>
    <row r="106" ht="15.75" customHeight="1">
      <c r="R106" s="159"/>
    </row>
    <row r="107" ht="15.75" customHeight="1">
      <c r="R107" s="159"/>
    </row>
    <row r="108" ht="15.75" customHeight="1">
      <c r="R108" s="159"/>
    </row>
    <row r="109" ht="15.75" customHeight="1">
      <c r="R109" s="159"/>
    </row>
    <row r="110" ht="15.75" customHeight="1">
      <c r="R110" s="159"/>
    </row>
    <row r="111" ht="15.75" customHeight="1">
      <c r="R111" s="159"/>
    </row>
    <row r="112" ht="15.75" customHeight="1">
      <c r="R112" s="159"/>
    </row>
    <row r="113" ht="15.75" customHeight="1">
      <c r="R113" s="159"/>
    </row>
    <row r="114" ht="15.75" customHeight="1">
      <c r="R114" s="159"/>
    </row>
    <row r="115" ht="15.75" customHeight="1">
      <c r="R115" s="159"/>
    </row>
    <row r="116" ht="15.75" customHeight="1">
      <c r="R116" s="159"/>
    </row>
    <row r="117" ht="15.75" customHeight="1">
      <c r="R117" s="159"/>
    </row>
    <row r="118" ht="15.75" customHeight="1">
      <c r="R118" s="159"/>
    </row>
    <row r="119" ht="15.75" customHeight="1">
      <c r="R119" s="159"/>
    </row>
    <row r="120" ht="15.75" customHeight="1">
      <c r="R120" s="159"/>
    </row>
    <row r="121" ht="15.75" customHeight="1">
      <c r="R121" s="159"/>
    </row>
    <row r="122" ht="15.75" customHeight="1">
      <c r="R122" s="159"/>
    </row>
    <row r="123" ht="15.75" customHeight="1">
      <c r="R123" s="159"/>
    </row>
    <row r="124" ht="15.75" customHeight="1">
      <c r="R124" s="159"/>
    </row>
    <row r="125" ht="15.75" customHeight="1">
      <c r="R125" s="159"/>
    </row>
    <row r="126" ht="15.75" customHeight="1">
      <c r="R126" s="159"/>
    </row>
    <row r="127" ht="15.75" customHeight="1">
      <c r="R127" s="159"/>
    </row>
    <row r="128" ht="15.75" customHeight="1">
      <c r="R128" s="159"/>
    </row>
    <row r="129" ht="15.75" customHeight="1">
      <c r="R129" s="159"/>
    </row>
    <row r="130" ht="15.75" customHeight="1">
      <c r="R130" s="159"/>
    </row>
    <row r="131" ht="15.75" customHeight="1">
      <c r="R131" s="159"/>
    </row>
    <row r="132" ht="15.75" customHeight="1">
      <c r="R132" s="159"/>
    </row>
    <row r="133" ht="15.75" customHeight="1">
      <c r="R133" s="159"/>
    </row>
    <row r="134" ht="15.75" customHeight="1">
      <c r="R134" s="159"/>
    </row>
    <row r="135" ht="15.75" customHeight="1">
      <c r="R135" s="159"/>
    </row>
    <row r="136" ht="15.75" customHeight="1">
      <c r="R136" s="159"/>
    </row>
    <row r="137" ht="15.75" customHeight="1">
      <c r="R137" s="159"/>
    </row>
    <row r="138" ht="15.75" customHeight="1">
      <c r="R138" s="159"/>
    </row>
    <row r="139" ht="15.75" customHeight="1">
      <c r="R139" s="159"/>
    </row>
    <row r="140" ht="15.75" customHeight="1">
      <c r="R140" s="159"/>
    </row>
    <row r="141" ht="15.75" customHeight="1">
      <c r="R141" s="159"/>
    </row>
    <row r="142" ht="15.75" customHeight="1">
      <c r="R142" s="159"/>
    </row>
    <row r="143" ht="15.75" customHeight="1">
      <c r="R143" s="159"/>
    </row>
    <row r="144" ht="15.75" customHeight="1">
      <c r="R144" s="159"/>
    </row>
    <row r="145" ht="15.75" customHeight="1">
      <c r="R145" s="159"/>
    </row>
    <row r="146" ht="15.75" customHeight="1">
      <c r="R146" s="159"/>
    </row>
    <row r="147" ht="15.75" customHeight="1">
      <c r="R147" s="159"/>
    </row>
    <row r="148" ht="15.75" customHeight="1">
      <c r="R148" s="159"/>
    </row>
    <row r="149" ht="15.75" customHeight="1">
      <c r="R149" s="159"/>
    </row>
    <row r="150" ht="15.75" customHeight="1">
      <c r="R150" s="159"/>
    </row>
    <row r="151" ht="15.75" customHeight="1">
      <c r="R151" s="159"/>
    </row>
    <row r="152" ht="15.75" customHeight="1">
      <c r="R152" s="159"/>
    </row>
    <row r="153" ht="15.75" customHeight="1">
      <c r="R153" s="159"/>
    </row>
    <row r="154" ht="15.75" customHeight="1">
      <c r="R154" s="159"/>
    </row>
    <row r="155" ht="15.75" customHeight="1">
      <c r="R155" s="159"/>
    </row>
    <row r="156" ht="15.75" customHeight="1">
      <c r="R156" s="159"/>
    </row>
    <row r="157" ht="15.75" customHeight="1">
      <c r="R157" s="159"/>
    </row>
    <row r="158" ht="15.75" customHeight="1">
      <c r="R158" s="159"/>
    </row>
    <row r="159" ht="15.75" customHeight="1">
      <c r="R159" s="159"/>
    </row>
    <row r="160" ht="15.75" customHeight="1">
      <c r="R160" s="159"/>
    </row>
    <row r="161" ht="15.75" customHeight="1">
      <c r="R161" s="159"/>
    </row>
    <row r="162" ht="15.75" customHeight="1">
      <c r="R162" s="159"/>
    </row>
    <row r="163" ht="15.75" customHeight="1">
      <c r="R163" s="159"/>
    </row>
    <row r="164" ht="15.75" customHeight="1">
      <c r="R164" s="159"/>
    </row>
    <row r="165" ht="15.75" customHeight="1">
      <c r="R165" s="159"/>
    </row>
    <row r="166" ht="15.75" customHeight="1">
      <c r="R166" s="159"/>
    </row>
    <row r="167" ht="15.75" customHeight="1">
      <c r="R167" s="159"/>
    </row>
    <row r="168" ht="15.75" customHeight="1">
      <c r="R168" s="159"/>
    </row>
    <row r="169" ht="15.75" customHeight="1">
      <c r="R169" s="159"/>
    </row>
    <row r="170" ht="15.75" customHeight="1">
      <c r="R170" s="159"/>
    </row>
    <row r="171" ht="15.75" customHeight="1">
      <c r="R171" s="159"/>
    </row>
    <row r="172" ht="15.75" customHeight="1">
      <c r="R172" s="159"/>
    </row>
    <row r="173" ht="15.75" customHeight="1">
      <c r="R173" s="159"/>
    </row>
    <row r="174" ht="15.75" customHeight="1">
      <c r="R174" s="159"/>
    </row>
    <row r="175" ht="15.75" customHeight="1">
      <c r="R175" s="159"/>
    </row>
    <row r="176" ht="15.75" customHeight="1">
      <c r="R176" s="159"/>
    </row>
    <row r="177" ht="15.75" customHeight="1">
      <c r="R177" s="159"/>
    </row>
    <row r="178" ht="15.75" customHeight="1">
      <c r="R178" s="159"/>
    </row>
    <row r="179" ht="15.75" customHeight="1">
      <c r="R179" s="159"/>
    </row>
    <row r="180" ht="15.75" customHeight="1">
      <c r="R180" s="159"/>
    </row>
    <row r="181" ht="15.75" customHeight="1">
      <c r="R181" s="159"/>
    </row>
    <row r="182" ht="15.75" customHeight="1">
      <c r="R182" s="159"/>
    </row>
    <row r="183" ht="15.75" customHeight="1">
      <c r="R183" s="159"/>
    </row>
    <row r="184" ht="15.75" customHeight="1">
      <c r="R184" s="159"/>
    </row>
    <row r="185" ht="15.75" customHeight="1">
      <c r="R185" s="159"/>
    </row>
    <row r="186" ht="15.75" customHeight="1">
      <c r="R186" s="159"/>
    </row>
    <row r="187" ht="15.75" customHeight="1">
      <c r="R187" s="159"/>
    </row>
    <row r="188" ht="15.75" customHeight="1">
      <c r="R188" s="159"/>
    </row>
    <row r="189" ht="15.75" customHeight="1">
      <c r="R189" s="159"/>
    </row>
    <row r="190" ht="15.75" customHeight="1">
      <c r="R190" s="159"/>
    </row>
    <row r="191" ht="15.75" customHeight="1">
      <c r="R191" s="159"/>
    </row>
    <row r="192" ht="15.75" customHeight="1">
      <c r="R192" s="159"/>
    </row>
    <row r="193" ht="15.75" customHeight="1">
      <c r="R193" s="159"/>
    </row>
    <row r="194" ht="15.75" customHeight="1">
      <c r="R194" s="159"/>
    </row>
    <row r="195" ht="15.75" customHeight="1">
      <c r="R195" s="159"/>
    </row>
    <row r="196" ht="15.75" customHeight="1">
      <c r="R196" s="159"/>
    </row>
    <row r="197" ht="15.75" customHeight="1">
      <c r="R197" s="159"/>
    </row>
    <row r="198" ht="15.75" customHeight="1">
      <c r="R198" s="159"/>
    </row>
    <row r="199" ht="15.75" customHeight="1">
      <c r="R199" s="159"/>
    </row>
    <row r="200" ht="15.75" customHeight="1">
      <c r="R200" s="159"/>
    </row>
    <row r="201" ht="15.75" customHeight="1">
      <c r="R201" s="159"/>
    </row>
    <row r="202" ht="15.75" customHeight="1">
      <c r="R202" s="159"/>
    </row>
    <row r="203" ht="15.75" customHeight="1">
      <c r="R203" s="159"/>
    </row>
    <row r="204" ht="15.75" customHeight="1">
      <c r="R204" s="159"/>
    </row>
    <row r="205" ht="15.75" customHeight="1">
      <c r="R205" s="159"/>
    </row>
    <row r="206" ht="15.75" customHeight="1">
      <c r="R206" s="159"/>
    </row>
    <row r="207" ht="15.75" customHeight="1">
      <c r="R207" s="159"/>
    </row>
    <row r="208" ht="15.75" customHeight="1">
      <c r="R208" s="159"/>
    </row>
    <row r="209" ht="15.75" customHeight="1">
      <c r="R209" s="159"/>
    </row>
    <row r="210" ht="15.75" customHeight="1">
      <c r="R210" s="159"/>
    </row>
    <row r="211" ht="15.75" customHeight="1">
      <c r="R211" s="159"/>
    </row>
    <row r="212" ht="15.75" customHeight="1">
      <c r="R212" s="159"/>
    </row>
    <row r="213" ht="15.75" customHeight="1">
      <c r="R213" s="159"/>
    </row>
    <row r="214" ht="15.75" customHeight="1">
      <c r="R214" s="159"/>
    </row>
    <row r="215" ht="15.75" customHeight="1">
      <c r="R215" s="159"/>
    </row>
    <row r="216" ht="15.75" customHeight="1">
      <c r="R216" s="159"/>
    </row>
    <row r="217" ht="15.75" customHeight="1">
      <c r="R217" s="159"/>
    </row>
    <row r="218" ht="15.75" customHeight="1">
      <c r="R218" s="159"/>
    </row>
    <row r="219" ht="15.75" customHeight="1">
      <c r="R219" s="159"/>
    </row>
    <row r="220" ht="15.75" customHeight="1">
      <c r="R220" s="159"/>
    </row>
    <row r="221" ht="15.75" customHeight="1">
      <c r="R221" s="159"/>
    </row>
    <row r="222" ht="15.75" customHeight="1">
      <c r="R222" s="159"/>
    </row>
    <row r="223" ht="15.75" customHeight="1">
      <c r="R223" s="159"/>
    </row>
    <row r="224" ht="15.75" customHeight="1">
      <c r="R224" s="159"/>
    </row>
    <row r="225" ht="15.75" customHeight="1">
      <c r="R225" s="159"/>
    </row>
    <row r="226" ht="15.75" customHeight="1">
      <c r="R226" s="159"/>
    </row>
    <row r="227" ht="15.75" customHeight="1">
      <c r="R227" s="159"/>
    </row>
    <row r="228" ht="15.75" customHeight="1">
      <c r="R228" s="159"/>
    </row>
    <row r="229" ht="15.75" customHeight="1">
      <c r="R229" s="159"/>
    </row>
    <row r="230" ht="15.75" customHeight="1">
      <c r="R230" s="159"/>
    </row>
    <row r="231" ht="15.75" customHeight="1">
      <c r="R231" s="159"/>
    </row>
    <row r="232" ht="15.75" customHeight="1">
      <c r="R232" s="159"/>
    </row>
    <row r="233" ht="15.75" customHeight="1">
      <c r="R233" s="159"/>
    </row>
    <row r="234" ht="15.75" customHeight="1">
      <c r="R234" s="159"/>
    </row>
    <row r="235" ht="15.75" customHeight="1">
      <c r="R235" s="159"/>
    </row>
    <row r="236" ht="15.75" customHeight="1">
      <c r="R236" s="159"/>
    </row>
    <row r="237" ht="15.75" customHeight="1">
      <c r="R237" s="159"/>
    </row>
    <row r="238" ht="15.75" customHeight="1">
      <c r="R238" s="159"/>
    </row>
    <row r="239" ht="15.75" customHeight="1">
      <c r="R239" s="159"/>
    </row>
    <row r="240" ht="15.75" customHeight="1">
      <c r="R240" s="159"/>
    </row>
    <row r="241" ht="15.75" customHeight="1">
      <c r="R241" s="159"/>
    </row>
    <row r="242" ht="15.75" customHeight="1">
      <c r="R242" s="159"/>
    </row>
    <row r="243" ht="15.75" customHeight="1">
      <c r="R243" s="159"/>
    </row>
    <row r="244" ht="15.75" customHeight="1">
      <c r="R244" s="159"/>
    </row>
    <row r="245" ht="15.75" customHeight="1">
      <c r="R245" s="159"/>
    </row>
    <row r="246" ht="15.75" customHeight="1">
      <c r="R246" s="159"/>
    </row>
    <row r="247" ht="15.75" customHeight="1">
      <c r="R247" s="159"/>
    </row>
    <row r="248" ht="15.75" customHeight="1">
      <c r="R248" s="159"/>
    </row>
    <row r="249" ht="15.75" customHeight="1">
      <c r="R249" s="159"/>
    </row>
    <row r="250" ht="15.75" customHeight="1">
      <c r="R250" s="159"/>
    </row>
    <row r="251" ht="15.75" customHeight="1">
      <c r="R251" s="159"/>
    </row>
    <row r="252" ht="15.75" customHeight="1">
      <c r="R252" s="159"/>
    </row>
    <row r="253" ht="15.75" customHeight="1">
      <c r="R253" s="159"/>
    </row>
    <row r="254" ht="15.75" customHeight="1">
      <c r="R254" s="159"/>
    </row>
    <row r="255" ht="15.75" customHeight="1">
      <c r="R255" s="159"/>
    </row>
    <row r="256" ht="15.75" customHeight="1">
      <c r="R256" s="159"/>
    </row>
    <row r="257" ht="15.75" customHeight="1">
      <c r="R257" s="159"/>
    </row>
    <row r="258" ht="15.75" customHeight="1">
      <c r="R258" s="159"/>
    </row>
    <row r="259" ht="15.75" customHeight="1">
      <c r="R259" s="159"/>
    </row>
    <row r="260" ht="15.75" customHeight="1">
      <c r="R260" s="159"/>
    </row>
    <row r="261" ht="15.75" customHeight="1">
      <c r="R261" s="159"/>
    </row>
    <row r="262" ht="15.75" customHeight="1">
      <c r="R262" s="159"/>
    </row>
    <row r="263" ht="15.75" customHeight="1">
      <c r="R263" s="159"/>
    </row>
    <row r="264" ht="15.75" customHeight="1">
      <c r="R264" s="159"/>
    </row>
    <row r="265" ht="15.75" customHeight="1">
      <c r="R265" s="159"/>
    </row>
    <row r="266" ht="15.75" customHeight="1">
      <c r="R266" s="159"/>
    </row>
    <row r="267" ht="15.75" customHeight="1">
      <c r="R267" s="159"/>
    </row>
    <row r="268" ht="15.75" customHeight="1">
      <c r="R268" s="159"/>
    </row>
    <row r="269" ht="15.75" customHeight="1">
      <c r="R269" s="159"/>
    </row>
    <row r="270" ht="15.75" customHeight="1">
      <c r="R270" s="159"/>
    </row>
    <row r="271" ht="15.75" customHeight="1">
      <c r="R271" s="159"/>
    </row>
    <row r="272" ht="15.75" customHeight="1">
      <c r="R272" s="159"/>
    </row>
    <row r="273" ht="15.75" customHeight="1">
      <c r="R273" s="159"/>
    </row>
    <row r="274" ht="15.75" customHeight="1">
      <c r="R274" s="159"/>
    </row>
    <row r="275" ht="15.75" customHeight="1">
      <c r="R275" s="159"/>
    </row>
    <row r="276" ht="15.75" customHeight="1">
      <c r="R276" s="159"/>
    </row>
    <row r="277" ht="15.75" customHeight="1">
      <c r="R277" s="159"/>
    </row>
    <row r="278" ht="15.75" customHeight="1">
      <c r="R278" s="159"/>
    </row>
    <row r="279" ht="15.75" customHeight="1">
      <c r="R279" s="159"/>
    </row>
    <row r="280" ht="15.75" customHeight="1">
      <c r="R280" s="159"/>
    </row>
    <row r="281" ht="15.75" customHeight="1">
      <c r="R281" s="159"/>
    </row>
    <row r="282" ht="15.75" customHeight="1">
      <c r="R282" s="159"/>
    </row>
    <row r="283" ht="15.75" customHeight="1">
      <c r="R283" s="159"/>
    </row>
    <row r="284" ht="15.75" customHeight="1">
      <c r="R284" s="159"/>
    </row>
    <row r="285" ht="15.75" customHeight="1">
      <c r="R285" s="159"/>
    </row>
    <row r="286" ht="15.75" customHeight="1">
      <c r="R286" s="159"/>
    </row>
    <row r="287" ht="15.75" customHeight="1">
      <c r="R287" s="159"/>
    </row>
    <row r="288" ht="15.75" customHeight="1">
      <c r="R288" s="159"/>
    </row>
    <row r="289" ht="15.75" customHeight="1">
      <c r="R289" s="159"/>
    </row>
    <row r="290" ht="15.75" customHeight="1">
      <c r="R290" s="159"/>
    </row>
    <row r="291" ht="15.75" customHeight="1">
      <c r="R291" s="159"/>
    </row>
    <row r="292" ht="15.75" customHeight="1">
      <c r="R292" s="159"/>
    </row>
    <row r="293" ht="15.75" customHeight="1">
      <c r="R293" s="159"/>
    </row>
    <row r="294" ht="15.75" customHeight="1">
      <c r="R294" s="159"/>
    </row>
    <row r="295" ht="15.75" customHeight="1">
      <c r="R295" s="159"/>
    </row>
    <row r="296" ht="15.75" customHeight="1">
      <c r="R296" s="159"/>
    </row>
    <row r="297" ht="15.75" customHeight="1">
      <c r="R297" s="159"/>
    </row>
    <row r="298" ht="15.75" customHeight="1">
      <c r="R298" s="159"/>
    </row>
    <row r="299" ht="15.75" customHeight="1">
      <c r="R299" s="159"/>
    </row>
    <row r="300" ht="15.75" customHeight="1">
      <c r="R300" s="159"/>
    </row>
    <row r="301" ht="15.75" customHeight="1">
      <c r="R301" s="159"/>
    </row>
    <row r="302" ht="15.75" customHeight="1">
      <c r="R302" s="159"/>
    </row>
    <row r="303" ht="15.75" customHeight="1">
      <c r="R303" s="159"/>
    </row>
    <row r="304" ht="15.75" customHeight="1">
      <c r="R304" s="159"/>
    </row>
    <row r="305" ht="15.75" customHeight="1">
      <c r="R305" s="159"/>
    </row>
    <row r="306" ht="15.75" customHeight="1">
      <c r="R306" s="159"/>
    </row>
    <row r="307" ht="15.75" customHeight="1">
      <c r="R307" s="159"/>
    </row>
    <row r="308" ht="15.75" customHeight="1">
      <c r="R308" s="159"/>
    </row>
    <row r="309" ht="15.75" customHeight="1">
      <c r="R309" s="159"/>
    </row>
    <row r="310" ht="15.75" customHeight="1">
      <c r="R310" s="159"/>
    </row>
    <row r="311" ht="15.75" customHeight="1">
      <c r="R311" s="159"/>
    </row>
    <row r="312" ht="15.75" customHeight="1">
      <c r="R312" s="159"/>
    </row>
    <row r="313" ht="15.75" customHeight="1">
      <c r="R313" s="159"/>
    </row>
    <row r="314" ht="15.75" customHeight="1">
      <c r="R314" s="159"/>
    </row>
    <row r="315" ht="15.75" customHeight="1">
      <c r="R315" s="159"/>
    </row>
    <row r="316" ht="15.75" customHeight="1">
      <c r="R316" s="159"/>
    </row>
    <row r="317" ht="15.75" customHeight="1">
      <c r="R317" s="159"/>
    </row>
    <row r="318" ht="15.75" customHeight="1">
      <c r="R318" s="159"/>
    </row>
    <row r="319" ht="15.75" customHeight="1">
      <c r="R319" s="159"/>
    </row>
    <row r="320" ht="15.75" customHeight="1">
      <c r="R320" s="159"/>
    </row>
    <row r="321" ht="15.75" customHeight="1">
      <c r="R321" s="159"/>
    </row>
    <row r="322" ht="15.75" customHeight="1">
      <c r="R322" s="159"/>
    </row>
    <row r="323" ht="15.75" customHeight="1">
      <c r="R323" s="159"/>
    </row>
    <row r="324" ht="15.75" customHeight="1">
      <c r="R324" s="159"/>
    </row>
    <row r="325" ht="15.75" customHeight="1">
      <c r="R325" s="159"/>
    </row>
    <row r="326" ht="15.75" customHeight="1">
      <c r="R326" s="159"/>
    </row>
    <row r="327" ht="15.75" customHeight="1">
      <c r="R327" s="159"/>
    </row>
    <row r="328" ht="15.75" customHeight="1">
      <c r="R328" s="159"/>
    </row>
    <row r="329" ht="15.75" customHeight="1">
      <c r="R329" s="159"/>
    </row>
    <row r="330" ht="15.75" customHeight="1">
      <c r="R330" s="159"/>
    </row>
    <row r="331" ht="15.75" customHeight="1">
      <c r="R331" s="159"/>
    </row>
    <row r="332" ht="15.75" customHeight="1">
      <c r="R332" s="159"/>
    </row>
    <row r="333" ht="15.75" customHeight="1">
      <c r="R333" s="159"/>
    </row>
    <row r="334" ht="15.75" customHeight="1">
      <c r="R334" s="159"/>
    </row>
    <row r="335" ht="15.75" customHeight="1">
      <c r="R335" s="159"/>
    </row>
    <row r="336" ht="15.75" customHeight="1">
      <c r="R336" s="159"/>
    </row>
    <row r="337" ht="15.75" customHeight="1">
      <c r="R337" s="159"/>
    </row>
    <row r="338" ht="15.75" customHeight="1">
      <c r="R338" s="159"/>
    </row>
    <row r="339" ht="15.75" customHeight="1">
      <c r="R339" s="159"/>
    </row>
    <row r="340" ht="15.75" customHeight="1">
      <c r="R340" s="159"/>
    </row>
    <row r="341" ht="15.75" customHeight="1">
      <c r="R341" s="159"/>
    </row>
    <row r="342" ht="15.75" customHeight="1">
      <c r="R342" s="159"/>
    </row>
    <row r="343" ht="15.75" customHeight="1">
      <c r="R343" s="159"/>
    </row>
    <row r="344" ht="15.75" customHeight="1">
      <c r="R344" s="159"/>
    </row>
    <row r="345" ht="15.75" customHeight="1">
      <c r="R345" s="159"/>
    </row>
    <row r="346" ht="15.75" customHeight="1">
      <c r="R346" s="159"/>
    </row>
    <row r="347" ht="15.75" customHeight="1">
      <c r="R347" s="159"/>
    </row>
    <row r="348" ht="15.75" customHeight="1">
      <c r="R348" s="159"/>
    </row>
    <row r="349" ht="15.75" customHeight="1">
      <c r="R349" s="159"/>
    </row>
    <row r="350" ht="15.75" customHeight="1">
      <c r="R350" s="159"/>
    </row>
    <row r="351" ht="15.75" customHeight="1">
      <c r="R351" s="159"/>
    </row>
    <row r="352" ht="15.75" customHeight="1">
      <c r="R352" s="159"/>
    </row>
    <row r="353" ht="15.75" customHeight="1">
      <c r="R353" s="159"/>
    </row>
    <row r="354" ht="15.75" customHeight="1">
      <c r="R354" s="159"/>
    </row>
    <row r="355" ht="15.75" customHeight="1">
      <c r="R355" s="159"/>
    </row>
    <row r="356" ht="15.75" customHeight="1">
      <c r="R356" s="159"/>
    </row>
    <row r="357" ht="15.75" customHeight="1">
      <c r="R357" s="159"/>
    </row>
    <row r="358" ht="15.75" customHeight="1">
      <c r="R358" s="159"/>
    </row>
    <row r="359" ht="15.75" customHeight="1">
      <c r="R359" s="159"/>
    </row>
    <row r="360" ht="15.75" customHeight="1">
      <c r="R360" s="159"/>
    </row>
    <row r="361" ht="15.75" customHeight="1">
      <c r="R361" s="159"/>
    </row>
    <row r="362" ht="15.75" customHeight="1">
      <c r="R362" s="159"/>
    </row>
    <row r="363" ht="15.75" customHeight="1">
      <c r="R363" s="159"/>
    </row>
    <row r="364" ht="15.75" customHeight="1">
      <c r="R364" s="159"/>
    </row>
    <row r="365" ht="15.75" customHeight="1">
      <c r="R365" s="159"/>
    </row>
    <row r="366" ht="15.75" customHeight="1">
      <c r="R366" s="159"/>
    </row>
    <row r="367" ht="15.75" customHeight="1">
      <c r="R367" s="159"/>
    </row>
    <row r="368" ht="15.75" customHeight="1">
      <c r="R368" s="159"/>
    </row>
    <row r="369" ht="15.75" customHeight="1">
      <c r="R369" s="159"/>
    </row>
    <row r="370" ht="15.75" customHeight="1">
      <c r="R370" s="159"/>
    </row>
    <row r="371" ht="15.75" customHeight="1">
      <c r="R371" s="159"/>
    </row>
    <row r="372" ht="15.75" customHeight="1">
      <c r="R372" s="159"/>
    </row>
    <row r="373" ht="15.75" customHeight="1">
      <c r="R373" s="159"/>
    </row>
    <row r="374" ht="15.75" customHeight="1">
      <c r="R374" s="159"/>
    </row>
    <row r="375" ht="15.75" customHeight="1">
      <c r="R375" s="159"/>
    </row>
    <row r="376" ht="15.75" customHeight="1">
      <c r="R376" s="159"/>
    </row>
    <row r="377" ht="15.75" customHeight="1">
      <c r="R377" s="159"/>
    </row>
    <row r="378" ht="15.75" customHeight="1">
      <c r="R378" s="159"/>
    </row>
    <row r="379" ht="15.75" customHeight="1">
      <c r="R379" s="159"/>
    </row>
    <row r="380" ht="15.75" customHeight="1">
      <c r="R380" s="159"/>
    </row>
    <row r="381" ht="15.75" customHeight="1">
      <c r="R381" s="159"/>
    </row>
    <row r="382" ht="15.75" customHeight="1">
      <c r="R382" s="159"/>
    </row>
    <row r="383" ht="15.75" customHeight="1">
      <c r="R383" s="159"/>
    </row>
    <row r="384" ht="15.75" customHeight="1">
      <c r="R384" s="159"/>
    </row>
    <row r="385" ht="15.75" customHeight="1">
      <c r="R385" s="159"/>
    </row>
    <row r="386" ht="15.75" customHeight="1">
      <c r="R386" s="159"/>
    </row>
    <row r="387" ht="15.75" customHeight="1">
      <c r="R387" s="159"/>
    </row>
    <row r="388" ht="15.75" customHeight="1">
      <c r="R388" s="159"/>
    </row>
    <row r="389" ht="15.75" customHeight="1">
      <c r="R389" s="159"/>
    </row>
    <row r="390" ht="15.75" customHeight="1">
      <c r="R390" s="159"/>
    </row>
    <row r="391" ht="15.75" customHeight="1">
      <c r="R391" s="159"/>
    </row>
    <row r="392" ht="15.75" customHeight="1">
      <c r="R392" s="159"/>
    </row>
    <row r="393" ht="15.75" customHeight="1">
      <c r="R393" s="159"/>
    </row>
    <row r="394" ht="15.75" customHeight="1">
      <c r="R394" s="159"/>
    </row>
    <row r="395" ht="15.75" customHeight="1">
      <c r="R395" s="159"/>
    </row>
    <row r="396" ht="15.75" customHeight="1">
      <c r="R396" s="159"/>
    </row>
    <row r="397" ht="15.75" customHeight="1">
      <c r="R397" s="159"/>
    </row>
    <row r="398" ht="15.75" customHeight="1">
      <c r="R398" s="159"/>
    </row>
    <row r="399" ht="15.75" customHeight="1">
      <c r="R399" s="159"/>
    </row>
    <row r="400" ht="15.75" customHeight="1">
      <c r="R400" s="159"/>
    </row>
    <row r="401" ht="15.75" customHeight="1">
      <c r="R401" s="159"/>
    </row>
    <row r="402" ht="15.75" customHeight="1">
      <c r="R402" s="159"/>
    </row>
    <row r="403" ht="15.75" customHeight="1">
      <c r="R403" s="159"/>
    </row>
    <row r="404" ht="15.75" customHeight="1">
      <c r="R404" s="159"/>
    </row>
    <row r="405" ht="15.75" customHeight="1">
      <c r="R405" s="159"/>
    </row>
    <row r="406" ht="15.75" customHeight="1">
      <c r="R406" s="159"/>
    </row>
    <row r="407" ht="15.75" customHeight="1">
      <c r="R407" s="159"/>
    </row>
    <row r="408" ht="15.75" customHeight="1">
      <c r="R408" s="159"/>
    </row>
    <row r="409" ht="15.75" customHeight="1">
      <c r="R409" s="159"/>
    </row>
    <row r="410" ht="15.75" customHeight="1">
      <c r="R410" s="159"/>
    </row>
    <row r="411" ht="15.75" customHeight="1">
      <c r="R411" s="159"/>
    </row>
    <row r="412" ht="15.75" customHeight="1">
      <c r="R412" s="159"/>
    </row>
    <row r="413" ht="15.75" customHeight="1">
      <c r="R413" s="159"/>
    </row>
    <row r="414" ht="15.75" customHeight="1">
      <c r="R414" s="159"/>
    </row>
    <row r="415" ht="15.75" customHeight="1">
      <c r="R415" s="159"/>
    </row>
    <row r="416" ht="15.75" customHeight="1">
      <c r="R416" s="159"/>
    </row>
    <row r="417" ht="15.75" customHeight="1">
      <c r="R417" s="159"/>
    </row>
    <row r="418" ht="15.75" customHeight="1">
      <c r="R418" s="159"/>
    </row>
    <row r="419" ht="15.75" customHeight="1">
      <c r="R419" s="159"/>
    </row>
    <row r="420" ht="15.75" customHeight="1">
      <c r="R420" s="159"/>
    </row>
    <row r="421" ht="15.75" customHeight="1">
      <c r="R421" s="159"/>
    </row>
    <row r="422" ht="15.75" customHeight="1">
      <c r="R422" s="159"/>
    </row>
    <row r="423" ht="15.75" customHeight="1">
      <c r="R423" s="159"/>
    </row>
    <row r="424" ht="15.75" customHeight="1">
      <c r="R424" s="159"/>
    </row>
    <row r="425" ht="15.75" customHeight="1">
      <c r="R425" s="159"/>
    </row>
    <row r="426" ht="15.75" customHeight="1">
      <c r="R426" s="159"/>
    </row>
    <row r="427" ht="15.75" customHeight="1">
      <c r="R427" s="159"/>
    </row>
    <row r="428" ht="15.75" customHeight="1">
      <c r="R428" s="159"/>
    </row>
    <row r="429" ht="15.75" customHeight="1">
      <c r="R429" s="159"/>
    </row>
    <row r="430" ht="15.75" customHeight="1">
      <c r="R430" s="159"/>
    </row>
    <row r="431" ht="15.75" customHeight="1">
      <c r="R431" s="159"/>
    </row>
    <row r="432" ht="15.75" customHeight="1">
      <c r="R432" s="159"/>
    </row>
    <row r="433" ht="15.75" customHeight="1">
      <c r="R433" s="159"/>
    </row>
    <row r="434" ht="15.75" customHeight="1">
      <c r="R434" s="159"/>
    </row>
    <row r="435" ht="15.75" customHeight="1">
      <c r="R435" s="159"/>
    </row>
    <row r="436" ht="15.75" customHeight="1">
      <c r="R436" s="159"/>
    </row>
    <row r="437" ht="15.75" customHeight="1">
      <c r="R437" s="159"/>
    </row>
    <row r="438" ht="15.75" customHeight="1">
      <c r="R438" s="159"/>
    </row>
    <row r="439" ht="15.75" customHeight="1">
      <c r="R439" s="159"/>
    </row>
    <row r="440" ht="15.75" customHeight="1">
      <c r="R440" s="159"/>
    </row>
    <row r="441" ht="15.75" customHeight="1">
      <c r="R441" s="159"/>
    </row>
    <row r="442" ht="15.75" customHeight="1">
      <c r="R442" s="159"/>
    </row>
    <row r="443" ht="15.75" customHeight="1">
      <c r="R443" s="159"/>
    </row>
    <row r="444" ht="15.75" customHeight="1">
      <c r="R444" s="159"/>
    </row>
    <row r="445" ht="15.75" customHeight="1">
      <c r="R445" s="159"/>
    </row>
    <row r="446" ht="15.75" customHeight="1">
      <c r="R446" s="159"/>
    </row>
    <row r="447" ht="15.75" customHeight="1">
      <c r="R447" s="159"/>
    </row>
    <row r="448" ht="15.75" customHeight="1">
      <c r="R448" s="159"/>
    </row>
    <row r="449" ht="15.75" customHeight="1">
      <c r="R449" s="159"/>
    </row>
    <row r="450" ht="15.75" customHeight="1">
      <c r="R450" s="159"/>
    </row>
    <row r="451" ht="15.75" customHeight="1">
      <c r="R451" s="159"/>
    </row>
    <row r="452" ht="15.75" customHeight="1">
      <c r="R452" s="159"/>
    </row>
    <row r="453" ht="15.75" customHeight="1">
      <c r="R453" s="159"/>
    </row>
    <row r="454" ht="15.75" customHeight="1">
      <c r="R454" s="159"/>
    </row>
    <row r="455" ht="15.75" customHeight="1">
      <c r="R455" s="159"/>
    </row>
    <row r="456" ht="15.75" customHeight="1">
      <c r="R456" s="159"/>
    </row>
    <row r="457" ht="15.75" customHeight="1">
      <c r="R457" s="159"/>
    </row>
    <row r="458" ht="15.75" customHeight="1">
      <c r="R458" s="159"/>
    </row>
    <row r="459" ht="15.75" customHeight="1">
      <c r="R459" s="159"/>
    </row>
    <row r="460" ht="15.75" customHeight="1">
      <c r="R460" s="159"/>
    </row>
    <row r="461" ht="15.75" customHeight="1">
      <c r="R461" s="159"/>
    </row>
    <row r="462" ht="15.75" customHeight="1">
      <c r="R462" s="159"/>
    </row>
    <row r="463" ht="15.75" customHeight="1">
      <c r="R463" s="159"/>
    </row>
    <row r="464" ht="15.75" customHeight="1">
      <c r="R464" s="159"/>
    </row>
    <row r="465" ht="15.75" customHeight="1">
      <c r="R465" s="159"/>
    </row>
    <row r="466" ht="15.75" customHeight="1">
      <c r="R466" s="159"/>
    </row>
    <row r="467" ht="15.75" customHeight="1">
      <c r="R467" s="159"/>
    </row>
    <row r="468" ht="15.75" customHeight="1">
      <c r="R468" s="159"/>
    </row>
    <row r="469" ht="15.75" customHeight="1">
      <c r="R469" s="159"/>
    </row>
    <row r="470" ht="15.75" customHeight="1">
      <c r="R470" s="159"/>
    </row>
    <row r="471" ht="15.75" customHeight="1">
      <c r="R471" s="159"/>
    </row>
    <row r="472" ht="15.75" customHeight="1">
      <c r="R472" s="159"/>
    </row>
    <row r="473" ht="15.75" customHeight="1">
      <c r="R473" s="159"/>
    </row>
    <row r="474" ht="15.75" customHeight="1">
      <c r="R474" s="159"/>
    </row>
    <row r="475" ht="15.75" customHeight="1">
      <c r="R475" s="159"/>
    </row>
    <row r="476" ht="15.75" customHeight="1">
      <c r="R476" s="159"/>
    </row>
    <row r="477" ht="15.75" customHeight="1">
      <c r="R477" s="159"/>
    </row>
    <row r="478" ht="15.75" customHeight="1">
      <c r="R478" s="159"/>
    </row>
    <row r="479" ht="15.75" customHeight="1">
      <c r="R479" s="159"/>
    </row>
    <row r="480" ht="15.75" customHeight="1">
      <c r="R480" s="159"/>
    </row>
    <row r="481" ht="15.75" customHeight="1">
      <c r="R481" s="159"/>
    </row>
    <row r="482" ht="15.75" customHeight="1">
      <c r="R482" s="159"/>
    </row>
    <row r="483" ht="15.75" customHeight="1">
      <c r="R483" s="159"/>
    </row>
    <row r="484" ht="15.75" customHeight="1">
      <c r="R484" s="159"/>
    </row>
    <row r="485" ht="15.75" customHeight="1">
      <c r="R485" s="159"/>
    </row>
    <row r="486" ht="15.75" customHeight="1">
      <c r="R486" s="159"/>
    </row>
    <row r="487" ht="15.75" customHeight="1">
      <c r="R487" s="159"/>
    </row>
    <row r="488" ht="15.75" customHeight="1">
      <c r="R488" s="159"/>
    </row>
    <row r="489" ht="15.75" customHeight="1">
      <c r="R489" s="159"/>
    </row>
    <row r="490" ht="15.75" customHeight="1">
      <c r="R490" s="159"/>
    </row>
    <row r="491" ht="15.75" customHeight="1">
      <c r="R491" s="159"/>
    </row>
    <row r="492" ht="15.75" customHeight="1">
      <c r="R492" s="159"/>
    </row>
    <row r="493" ht="15.75" customHeight="1">
      <c r="R493" s="159"/>
    </row>
    <row r="494" ht="15.75" customHeight="1">
      <c r="R494" s="159"/>
    </row>
    <row r="495" ht="15.75" customHeight="1">
      <c r="R495" s="159"/>
    </row>
    <row r="496" ht="15.75" customHeight="1">
      <c r="R496" s="159"/>
    </row>
    <row r="497" ht="15.75" customHeight="1">
      <c r="R497" s="159"/>
    </row>
    <row r="498" ht="15.75" customHeight="1">
      <c r="R498" s="159"/>
    </row>
    <row r="499" ht="15.75" customHeight="1">
      <c r="R499" s="159"/>
    </row>
    <row r="500" ht="15.75" customHeight="1">
      <c r="R500" s="159"/>
    </row>
    <row r="501" ht="15.75" customHeight="1">
      <c r="R501" s="159"/>
    </row>
    <row r="502" ht="15.75" customHeight="1">
      <c r="R502" s="159"/>
    </row>
    <row r="503" ht="15.75" customHeight="1">
      <c r="R503" s="159"/>
    </row>
    <row r="504" ht="15.75" customHeight="1">
      <c r="R504" s="159"/>
    </row>
    <row r="505" ht="15.75" customHeight="1">
      <c r="R505" s="159"/>
    </row>
    <row r="506" ht="15.75" customHeight="1">
      <c r="R506" s="159"/>
    </row>
    <row r="507" ht="15.75" customHeight="1">
      <c r="R507" s="159"/>
    </row>
    <row r="508" ht="15.75" customHeight="1">
      <c r="R508" s="159"/>
    </row>
    <row r="509" ht="15.75" customHeight="1">
      <c r="R509" s="159"/>
    </row>
    <row r="510" ht="15.75" customHeight="1">
      <c r="R510" s="159"/>
    </row>
    <row r="511" ht="15.75" customHeight="1">
      <c r="R511" s="159"/>
    </row>
    <row r="512" ht="15.75" customHeight="1">
      <c r="R512" s="159"/>
    </row>
    <row r="513" ht="15.75" customHeight="1">
      <c r="R513" s="159"/>
    </row>
    <row r="514" ht="15.75" customHeight="1">
      <c r="R514" s="159"/>
    </row>
    <row r="515" ht="15.75" customHeight="1">
      <c r="R515" s="159"/>
    </row>
    <row r="516" ht="15.75" customHeight="1">
      <c r="R516" s="159"/>
    </row>
    <row r="517" ht="15.75" customHeight="1">
      <c r="R517" s="159"/>
    </row>
    <row r="518" ht="15.75" customHeight="1">
      <c r="R518" s="159"/>
    </row>
    <row r="519" ht="15.75" customHeight="1">
      <c r="R519" s="159"/>
    </row>
    <row r="520" ht="15.75" customHeight="1">
      <c r="R520" s="159"/>
    </row>
    <row r="521" ht="15.75" customHeight="1">
      <c r="R521" s="159"/>
    </row>
    <row r="522" ht="15.75" customHeight="1">
      <c r="R522" s="159"/>
    </row>
    <row r="523" ht="15.75" customHeight="1">
      <c r="R523" s="159"/>
    </row>
    <row r="524" ht="15.75" customHeight="1">
      <c r="R524" s="159"/>
    </row>
    <row r="525" ht="15.75" customHeight="1">
      <c r="R525" s="159"/>
    </row>
    <row r="526" ht="15.75" customHeight="1">
      <c r="R526" s="159"/>
    </row>
    <row r="527" ht="15.75" customHeight="1">
      <c r="R527" s="159"/>
    </row>
    <row r="528" ht="15.75" customHeight="1">
      <c r="R528" s="159"/>
    </row>
    <row r="529" ht="15.75" customHeight="1">
      <c r="R529" s="159"/>
    </row>
    <row r="530" ht="15.75" customHeight="1">
      <c r="R530" s="159"/>
    </row>
    <row r="531" ht="15.75" customHeight="1">
      <c r="R531" s="159"/>
    </row>
    <row r="532" ht="15.75" customHeight="1">
      <c r="R532" s="159"/>
    </row>
    <row r="533" ht="15.75" customHeight="1">
      <c r="R533" s="159"/>
    </row>
    <row r="534" ht="15.75" customHeight="1">
      <c r="R534" s="159"/>
    </row>
    <row r="535" ht="15.75" customHeight="1">
      <c r="R535" s="159"/>
    </row>
    <row r="536" ht="15.75" customHeight="1">
      <c r="R536" s="159"/>
    </row>
    <row r="537" ht="15.75" customHeight="1">
      <c r="R537" s="159"/>
    </row>
    <row r="538" ht="15.75" customHeight="1">
      <c r="R538" s="159"/>
    </row>
    <row r="539" ht="15.75" customHeight="1">
      <c r="R539" s="159"/>
    </row>
    <row r="540" ht="15.75" customHeight="1">
      <c r="R540" s="159"/>
    </row>
    <row r="541" ht="15.75" customHeight="1">
      <c r="R541" s="159"/>
    </row>
    <row r="542" ht="15.75" customHeight="1">
      <c r="R542" s="159"/>
    </row>
    <row r="543" ht="15.75" customHeight="1">
      <c r="R543" s="159"/>
    </row>
    <row r="544" ht="15.75" customHeight="1">
      <c r="R544" s="159"/>
    </row>
    <row r="545" ht="15.75" customHeight="1">
      <c r="R545" s="159"/>
    </row>
    <row r="546" ht="15.75" customHeight="1">
      <c r="R546" s="159"/>
    </row>
    <row r="547" ht="15.75" customHeight="1">
      <c r="R547" s="159"/>
    </row>
    <row r="548" ht="15.75" customHeight="1">
      <c r="R548" s="159"/>
    </row>
    <row r="549" ht="15.75" customHeight="1">
      <c r="R549" s="159"/>
    </row>
    <row r="550" ht="15.75" customHeight="1">
      <c r="R550" s="159"/>
    </row>
    <row r="551" ht="15.75" customHeight="1">
      <c r="R551" s="159"/>
    </row>
    <row r="552" ht="15.75" customHeight="1">
      <c r="R552" s="159"/>
    </row>
    <row r="553" ht="15.75" customHeight="1">
      <c r="R553" s="159"/>
    </row>
    <row r="554" ht="15.75" customHeight="1">
      <c r="R554" s="159"/>
    </row>
    <row r="555" ht="15.75" customHeight="1">
      <c r="R555" s="159"/>
    </row>
    <row r="556" ht="15.75" customHeight="1">
      <c r="R556" s="159"/>
    </row>
    <row r="557" ht="15.75" customHeight="1">
      <c r="R557" s="159"/>
    </row>
    <row r="558" ht="15.75" customHeight="1">
      <c r="R558" s="159"/>
    </row>
    <row r="559" ht="15.75" customHeight="1">
      <c r="R559" s="159"/>
    </row>
    <row r="560" ht="15.75" customHeight="1">
      <c r="R560" s="159"/>
    </row>
    <row r="561" ht="15.75" customHeight="1">
      <c r="R561" s="159"/>
    </row>
    <row r="562" ht="15.75" customHeight="1">
      <c r="R562" s="159"/>
    </row>
    <row r="563" ht="15.75" customHeight="1">
      <c r="R563" s="159"/>
    </row>
    <row r="564" ht="15.75" customHeight="1">
      <c r="R564" s="159"/>
    </row>
    <row r="565" ht="15.75" customHeight="1">
      <c r="R565" s="159"/>
    </row>
    <row r="566" ht="15.75" customHeight="1">
      <c r="R566" s="159"/>
    </row>
    <row r="567" ht="15.75" customHeight="1">
      <c r="R567" s="159"/>
    </row>
    <row r="568" ht="15.75" customHeight="1">
      <c r="R568" s="159"/>
    </row>
    <row r="569" ht="15.75" customHeight="1">
      <c r="R569" s="159"/>
    </row>
    <row r="570" ht="15.75" customHeight="1">
      <c r="R570" s="159"/>
    </row>
    <row r="571" ht="15.75" customHeight="1">
      <c r="R571" s="159"/>
    </row>
    <row r="572" ht="15.75" customHeight="1">
      <c r="R572" s="159"/>
    </row>
    <row r="573" ht="15.75" customHeight="1">
      <c r="R573" s="159"/>
    </row>
    <row r="574" ht="15.75" customHeight="1">
      <c r="R574" s="159"/>
    </row>
    <row r="575" ht="15.75" customHeight="1">
      <c r="R575" s="159"/>
    </row>
    <row r="576" ht="15.75" customHeight="1">
      <c r="R576" s="159"/>
    </row>
    <row r="577" ht="15.75" customHeight="1">
      <c r="R577" s="159"/>
    </row>
    <row r="578" ht="15.75" customHeight="1">
      <c r="R578" s="159"/>
    </row>
    <row r="579" ht="15.75" customHeight="1">
      <c r="R579" s="159"/>
    </row>
    <row r="580" ht="15.75" customHeight="1">
      <c r="R580" s="159"/>
    </row>
    <row r="581" ht="15.75" customHeight="1">
      <c r="R581" s="159"/>
    </row>
    <row r="582" ht="15.75" customHeight="1">
      <c r="R582" s="159"/>
    </row>
    <row r="583" ht="15.75" customHeight="1">
      <c r="R583" s="159"/>
    </row>
    <row r="584" ht="15.75" customHeight="1">
      <c r="R584" s="159"/>
    </row>
    <row r="585" ht="15.75" customHeight="1">
      <c r="R585" s="159"/>
    </row>
    <row r="586" ht="15.75" customHeight="1">
      <c r="R586" s="159"/>
    </row>
    <row r="587" ht="15.75" customHeight="1">
      <c r="R587" s="159"/>
    </row>
    <row r="588" ht="15.75" customHeight="1">
      <c r="R588" s="159"/>
    </row>
    <row r="589" ht="15.75" customHeight="1">
      <c r="R589" s="159"/>
    </row>
    <row r="590" ht="15.75" customHeight="1">
      <c r="R590" s="159"/>
    </row>
    <row r="591" ht="15.75" customHeight="1">
      <c r="R591" s="159"/>
    </row>
    <row r="592" ht="15.75" customHeight="1">
      <c r="R592" s="159"/>
    </row>
    <row r="593" ht="15.75" customHeight="1">
      <c r="R593" s="159"/>
    </row>
    <row r="594" ht="15.75" customHeight="1">
      <c r="R594" s="159"/>
    </row>
    <row r="595" ht="15.75" customHeight="1">
      <c r="R595" s="159"/>
    </row>
    <row r="596" ht="15.75" customHeight="1">
      <c r="R596" s="159"/>
    </row>
    <row r="597" ht="15.75" customHeight="1">
      <c r="R597" s="159"/>
    </row>
    <row r="598" ht="15.75" customHeight="1">
      <c r="R598" s="159"/>
    </row>
    <row r="599" ht="15.75" customHeight="1">
      <c r="R599" s="159"/>
    </row>
    <row r="600" ht="15.75" customHeight="1">
      <c r="R600" s="159"/>
    </row>
    <row r="601" ht="15.75" customHeight="1">
      <c r="R601" s="159"/>
    </row>
    <row r="602" ht="15.75" customHeight="1">
      <c r="R602" s="159"/>
    </row>
    <row r="603" ht="15.75" customHeight="1">
      <c r="R603" s="159"/>
    </row>
    <row r="604" ht="15.75" customHeight="1">
      <c r="R604" s="159"/>
    </row>
    <row r="605" ht="15.75" customHeight="1">
      <c r="R605" s="159"/>
    </row>
    <row r="606" ht="15.75" customHeight="1">
      <c r="R606" s="159"/>
    </row>
    <row r="607" ht="15.75" customHeight="1">
      <c r="R607" s="159"/>
    </row>
    <row r="608" ht="15.75" customHeight="1">
      <c r="R608" s="159"/>
    </row>
    <row r="609" ht="15.75" customHeight="1">
      <c r="R609" s="159"/>
    </row>
    <row r="610" ht="15.75" customHeight="1">
      <c r="R610" s="159"/>
    </row>
    <row r="611" ht="15.75" customHeight="1">
      <c r="R611" s="159"/>
    </row>
    <row r="612" ht="15.75" customHeight="1">
      <c r="R612" s="159"/>
    </row>
    <row r="613" ht="15.75" customHeight="1">
      <c r="R613" s="159"/>
    </row>
    <row r="614" ht="15.75" customHeight="1">
      <c r="R614" s="159"/>
    </row>
    <row r="615" ht="15.75" customHeight="1">
      <c r="R615" s="159"/>
    </row>
    <row r="616" ht="15.75" customHeight="1">
      <c r="R616" s="159"/>
    </row>
    <row r="617" ht="15.75" customHeight="1">
      <c r="R617" s="159"/>
    </row>
    <row r="618" ht="15.75" customHeight="1">
      <c r="R618" s="159"/>
    </row>
    <row r="619" ht="15.75" customHeight="1">
      <c r="R619" s="159"/>
    </row>
    <row r="620" ht="15.75" customHeight="1">
      <c r="R620" s="159"/>
    </row>
    <row r="621" ht="15.75" customHeight="1">
      <c r="R621" s="159"/>
    </row>
    <row r="622" ht="15.75" customHeight="1">
      <c r="R622" s="159"/>
    </row>
    <row r="623" ht="15.75" customHeight="1">
      <c r="R623" s="159"/>
    </row>
    <row r="624" ht="15.75" customHeight="1">
      <c r="R624" s="159"/>
    </row>
    <row r="625" ht="15.75" customHeight="1">
      <c r="R625" s="159"/>
    </row>
    <row r="626" ht="15.75" customHeight="1">
      <c r="R626" s="159"/>
    </row>
    <row r="627" ht="15.75" customHeight="1">
      <c r="R627" s="159"/>
    </row>
    <row r="628" ht="15.75" customHeight="1">
      <c r="R628" s="159"/>
    </row>
    <row r="629" ht="15.75" customHeight="1">
      <c r="R629" s="159"/>
    </row>
    <row r="630" ht="15.75" customHeight="1">
      <c r="R630" s="159"/>
    </row>
    <row r="631" ht="15.75" customHeight="1">
      <c r="R631" s="159"/>
    </row>
    <row r="632" ht="15.75" customHeight="1">
      <c r="R632" s="159"/>
    </row>
    <row r="633" ht="15.75" customHeight="1">
      <c r="R633" s="159"/>
    </row>
    <row r="634" ht="15.75" customHeight="1">
      <c r="R634" s="159"/>
    </row>
    <row r="635" ht="15.75" customHeight="1">
      <c r="R635" s="159"/>
    </row>
    <row r="636" ht="15.75" customHeight="1">
      <c r="R636" s="159"/>
    </row>
    <row r="637" ht="15.75" customHeight="1">
      <c r="R637" s="159"/>
    </row>
    <row r="638" ht="15.75" customHeight="1">
      <c r="R638" s="159"/>
    </row>
    <row r="639" ht="15.75" customHeight="1">
      <c r="R639" s="159"/>
    </row>
    <row r="640" ht="15.75" customHeight="1">
      <c r="R640" s="159"/>
    </row>
    <row r="641" ht="15.75" customHeight="1">
      <c r="R641" s="159"/>
    </row>
    <row r="642" ht="15.75" customHeight="1">
      <c r="R642" s="159"/>
    </row>
    <row r="643" ht="15.75" customHeight="1">
      <c r="R643" s="159"/>
    </row>
    <row r="644" ht="15.75" customHeight="1">
      <c r="R644" s="159"/>
    </row>
    <row r="645" ht="15.75" customHeight="1">
      <c r="R645" s="159"/>
    </row>
    <row r="646" ht="15.75" customHeight="1">
      <c r="R646" s="159"/>
    </row>
    <row r="647" ht="15.75" customHeight="1">
      <c r="R647" s="159"/>
    </row>
    <row r="648" ht="15.75" customHeight="1">
      <c r="R648" s="159"/>
    </row>
    <row r="649" ht="15.75" customHeight="1">
      <c r="R649" s="159"/>
    </row>
    <row r="650" ht="15.75" customHeight="1">
      <c r="R650" s="159"/>
    </row>
    <row r="651" ht="15.75" customHeight="1">
      <c r="R651" s="159"/>
    </row>
    <row r="652" ht="15.75" customHeight="1">
      <c r="R652" s="159"/>
    </row>
    <row r="653" ht="15.75" customHeight="1">
      <c r="R653" s="159"/>
    </row>
    <row r="654" ht="15.75" customHeight="1">
      <c r="R654" s="159"/>
    </row>
    <row r="655" ht="15.75" customHeight="1">
      <c r="R655" s="159"/>
    </row>
    <row r="656" ht="15.75" customHeight="1">
      <c r="R656" s="159"/>
    </row>
    <row r="657" ht="15.75" customHeight="1">
      <c r="R657" s="159"/>
    </row>
    <row r="658" ht="15.75" customHeight="1">
      <c r="R658" s="159"/>
    </row>
    <row r="659" ht="15.75" customHeight="1">
      <c r="R659" s="159"/>
    </row>
    <row r="660" ht="15.75" customHeight="1">
      <c r="R660" s="159"/>
    </row>
    <row r="661" ht="15.75" customHeight="1">
      <c r="R661" s="159"/>
    </row>
    <row r="662" ht="15.75" customHeight="1">
      <c r="R662" s="159"/>
    </row>
    <row r="663" ht="15.75" customHeight="1">
      <c r="R663" s="159"/>
    </row>
    <row r="664" ht="15.75" customHeight="1">
      <c r="R664" s="159"/>
    </row>
    <row r="665" ht="15.75" customHeight="1">
      <c r="R665" s="159"/>
    </row>
    <row r="666" ht="15.75" customHeight="1">
      <c r="R666" s="159"/>
    </row>
    <row r="667" ht="15.75" customHeight="1">
      <c r="R667" s="159"/>
    </row>
    <row r="668" ht="15.75" customHeight="1">
      <c r="R668" s="159"/>
    </row>
    <row r="669" ht="15.75" customHeight="1">
      <c r="R669" s="159"/>
    </row>
    <row r="670" ht="15.75" customHeight="1">
      <c r="R670" s="159"/>
    </row>
    <row r="671" ht="15.75" customHeight="1">
      <c r="R671" s="159"/>
    </row>
    <row r="672" ht="15.75" customHeight="1">
      <c r="R672" s="159"/>
    </row>
    <row r="673" ht="15.75" customHeight="1">
      <c r="R673" s="159"/>
    </row>
    <row r="674" ht="15.75" customHeight="1">
      <c r="R674" s="159"/>
    </row>
    <row r="675" ht="15.75" customHeight="1">
      <c r="R675" s="159"/>
    </row>
    <row r="676" ht="15.75" customHeight="1">
      <c r="R676" s="159"/>
    </row>
    <row r="677" ht="15.75" customHeight="1">
      <c r="R677" s="159"/>
    </row>
    <row r="678" ht="15.75" customHeight="1">
      <c r="R678" s="159"/>
    </row>
    <row r="679" ht="15.75" customHeight="1">
      <c r="R679" s="159"/>
    </row>
    <row r="680" ht="15.75" customHeight="1">
      <c r="R680" s="159"/>
    </row>
    <row r="681" ht="15.75" customHeight="1">
      <c r="R681" s="159"/>
    </row>
    <row r="682" ht="15.75" customHeight="1">
      <c r="R682" s="159"/>
    </row>
    <row r="683" ht="15.75" customHeight="1">
      <c r="R683" s="159"/>
    </row>
    <row r="684" ht="15.75" customHeight="1">
      <c r="R684" s="159"/>
    </row>
    <row r="685" ht="15.75" customHeight="1">
      <c r="R685" s="159"/>
    </row>
    <row r="686" ht="15.75" customHeight="1">
      <c r="R686" s="159"/>
    </row>
    <row r="687" ht="15.75" customHeight="1">
      <c r="R687" s="159"/>
    </row>
    <row r="688" ht="15.75" customHeight="1">
      <c r="R688" s="159"/>
    </row>
    <row r="689" ht="15.75" customHeight="1">
      <c r="R689" s="159"/>
    </row>
    <row r="690" ht="15.75" customHeight="1">
      <c r="R690" s="159"/>
    </row>
    <row r="691" ht="15.75" customHeight="1">
      <c r="R691" s="159"/>
    </row>
    <row r="692" ht="15.75" customHeight="1">
      <c r="R692" s="159"/>
    </row>
    <row r="693" ht="15.75" customHeight="1">
      <c r="R693" s="159"/>
    </row>
    <row r="694" ht="15.75" customHeight="1">
      <c r="R694" s="159"/>
    </row>
    <row r="695" ht="15.75" customHeight="1">
      <c r="R695" s="159"/>
    </row>
    <row r="696" ht="15.75" customHeight="1">
      <c r="R696" s="159"/>
    </row>
    <row r="697" ht="15.75" customHeight="1">
      <c r="R697" s="159"/>
    </row>
    <row r="698" ht="15.75" customHeight="1">
      <c r="R698" s="159"/>
    </row>
    <row r="699" ht="15.75" customHeight="1">
      <c r="R699" s="159"/>
    </row>
    <row r="700" ht="15.75" customHeight="1">
      <c r="R700" s="159"/>
    </row>
    <row r="701" ht="15.75" customHeight="1">
      <c r="R701" s="159"/>
    </row>
    <row r="702" ht="15.75" customHeight="1">
      <c r="R702" s="159"/>
    </row>
    <row r="703" ht="15.75" customHeight="1">
      <c r="R703" s="159"/>
    </row>
    <row r="704" ht="15.75" customHeight="1">
      <c r="R704" s="159"/>
    </row>
    <row r="705" ht="15.75" customHeight="1">
      <c r="R705" s="159"/>
    </row>
    <row r="706" ht="15.75" customHeight="1">
      <c r="R706" s="159"/>
    </row>
    <row r="707" ht="15.75" customHeight="1">
      <c r="R707" s="159"/>
    </row>
    <row r="708" ht="15.75" customHeight="1">
      <c r="R708" s="159"/>
    </row>
    <row r="709" ht="15.75" customHeight="1">
      <c r="R709" s="159"/>
    </row>
    <row r="710" ht="15.75" customHeight="1">
      <c r="R710" s="159"/>
    </row>
    <row r="711" ht="15.75" customHeight="1">
      <c r="R711" s="159"/>
    </row>
    <row r="712" ht="15.75" customHeight="1">
      <c r="R712" s="159"/>
    </row>
    <row r="713" ht="15.75" customHeight="1">
      <c r="R713" s="159"/>
    </row>
    <row r="714" ht="15.75" customHeight="1">
      <c r="R714" s="159"/>
    </row>
    <row r="715" ht="15.75" customHeight="1">
      <c r="R715" s="159"/>
    </row>
    <row r="716" ht="15.75" customHeight="1">
      <c r="R716" s="159"/>
    </row>
    <row r="717" ht="15.75" customHeight="1">
      <c r="R717" s="159"/>
    </row>
    <row r="718" ht="15.75" customHeight="1">
      <c r="R718" s="159"/>
    </row>
    <row r="719" ht="15.75" customHeight="1">
      <c r="R719" s="159"/>
    </row>
    <row r="720" ht="15.75" customHeight="1">
      <c r="R720" s="159"/>
    </row>
    <row r="721" ht="15.75" customHeight="1">
      <c r="R721" s="159"/>
    </row>
    <row r="722" ht="15.75" customHeight="1">
      <c r="R722" s="159"/>
    </row>
    <row r="723" ht="15.75" customHeight="1">
      <c r="R723" s="159"/>
    </row>
    <row r="724" ht="15.75" customHeight="1">
      <c r="R724" s="159"/>
    </row>
    <row r="725" ht="15.75" customHeight="1">
      <c r="R725" s="159"/>
    </row>
    <row r="726" ht="15.75" customHeight="1">
      <c r="R726" s="159"/>
    </row>
    <row r="727" ht="15.75" customHeight="1">
      <c r="R727" s="159"/>
    </row>
    <row r="728" ht="15.75" customHeight="1">
      <c r="R728" s="159"/>
    </row>
    <row r="729" ht="15.75" customHeight="1">
      <c r="R729" s="159"/>
    </row>
    <row r="730" ht="15.75" customHeight="1">
      <c r="R730" s="159"/>
    </row>
    <row r="731" ht="15.75" customHeight="1">
      <c r="R731" s="159"/>
    </row>
    <row r="732" ht="15.75" customHeight="1">
      <c r="R732" s="159"/>
    </row>
    <row r="733" ht="15.75" customHeight="1">
      <c r="R733" s="159"/>
    </row>
    <row r="734" ht="15.75" customHeight="1">
      <c r="R734" s="159"/>
    </row>
    <row r="735" ht="15.75" customHeight="1">
      <c r="R735" s="159"/>
    </row>
    <row r="736" ht="15.75" customHeight="1">
      <c r="R736" s="159"/>
    </row>
    <row r="737" ht="15.75" customHeight="1">
      <c r="R737" s="159"/>
    </row>
    <row r="738" ht="15.75" customHeight="1">
      <c r="R738" s="159"/>
    </row>
    <row r="739" ht="15.75" customHeight="1">
      <c r="R739" s="159"/>
    </row>
    <row r="740" ht="15.75" customHeight="1">
      <c r="R740" s="159"/>
    </row>
    <row r="741" ht="15.75" customHeight="1">
      <c r="R741" s="159"/>
    </row>
    <row r="742" ht="15.75" customHeight="1">
      <c r="R742" s="159"/>
    </row>
    <row r="743" ht="15.75" customHeight="1">
      <c r="R743" s="159"/>
    </row>
    <row r="744" ht="15.75" customHeight="1">
      <c r="R744" s="159"/>
    </row>
    <row r="745" ht="15.75" customHeight="1">
      <c r="R745" s="159"/>
    </row>
    <row r="746" ht="15.75" customHeight="1">
      <c r="R746" s="159"/>
    </row>
    <row r="747" ht="15.75" customHeight="1">
      <c r="R747" s="159"/>
    </row>
    <row r="748" ht="15.75" customHeight="1">
      <c r="R748" s="159"/>
    </row>
    <row r="749" ht="15.75" customHeight="1">
      <c r="R749" s="159"/>
    </row>
    <row r="750" ht="15.75" customHeight="1">
      <c r="R750" s="159"/>
    </row>
    <row r="751" ht="15.75" customHeight="1">
      <c r="R751" s="159"/>
    </row>
    <row r="752" ht="15.75" customHeight="1">
      <c r="R752" s="159"/>
    </row>
    <row r="753" ht="15.75" customHeight="1">
      <c r="R753" s="159"/>
    </row>
    <row r="754" ht="15.75" customHeight="1">
      <c r="R754" s="159"/>
    </row>
    <row r="755" ht="15.75" customHeight="1">
      <c r="R755" s="159"/>
    </row>
    <row r="756" ht="15.75" customHeight="1">
      <c r="R756" s="159"/>
    </row>
    <row r="757" ht="15.75" customHeight="1">
      <c r="R757" s="159"/>
    </row>
    <row r="758" ht="15.75" customHeight="1">
      <c r="R758" s="159"/>
    </row>
    <row r="759" ht="15.75" customHeight="1">
      <c r="R759" s="159"/>
    </row>
    <row r="760" ht="15.75" customHeight="1">
      <c r="R760" s="159"/>
    </row>
    <row r="761" ht="15.75" customHeight="1">
      <c r="R761" s="159"/>
    </row>
    <row r="762" ht="15.75" customHeight="1">
      <c r="R762" s="159"/>
    </row>
    <row r="763" ht="15.75" customHeight="1">
      <c r="R763" s="159"/>
    </row>
    <row r="764" ht="15.75" customHeight="1">
      <c r="R764" s="159"/>
    </row>
    <row r="765" ht="15.75" customHeight="1">
      <c r="R765" s="159"/>
    </row>
    <row r="766" ht="15.75" customHeight="1">
      <c r="R766" s="159"/>
    </row>
    <row r="767" ht="15.75" customHeight="1">
      <c r="R767" s="159"/>
    </row>
    <row r="768" ht="15.75" customHeight="1">
      <c r="R768" s="159"/>
    </row>
    <row r="769" ht="15.75" customHeight="1">
      <c r="R769" s="159"/>
    </row>
    <row r="770" ht="15.75" customHeight="1">
      <c r="R770" s="159"/>
    </row>
    <row r="771" ht="15.75" customHeight="1">
      <c r="R771" s="159"/>
    </row>
    <row r="772" ht="15.75" customHeight="1">
      <c r="R772" s="159"/>
    </row>
    <row r="773" ht="15.75" customHeight="1">
      <c r="R773" s="159"/>
    </row>
    <row r="774" ht="15.75" customHeight="1">
      <c r="R774" s="159"/>
    </row>
    <row r="775" ht="15.75" customHeight="1">
      <c r="R775" s="159"/>
    </row>
    <row r="776" ht="15.75" customHeight="1">
      <c r="R776" s="159"/>
    </row>
    <row r="777" ht="15.75" customHeight="1">
      <c r="R777" s="159"/>
    </row>
    <row r="778" ht="15.75" customHeight="1">
      <c r="R778" s="159"/>
    </row>
    <row r="779" ht="15.75" customHeight="1">
      <c r="R779" s="159"/>
    </row>
    <row r="780" ht="15.75" customHeight="1">
      <c r="R780" s="159"/>
    </row>
    <row r="781" ht="15.75" customHeight="1">
      <c r="R781" s="159"/>
    </row>
    <row r="782" ht="15.75" customHeight="1">
      <c r="R782" s="159"/>
    </row>
    <row r="783" ht="15.75" customHeight="1">
      <c r="R783" s="159"/>
    </row>
    <row r="784" ht="15.75" customHeight="1">
      <c r="R784" s="159"/>
    </row>
    <row r="785" ht="15.75" customHeight="1">
      <c r="R785" s="159"/>
    </row>
    <row r="786" ht="15.75" customHeight="1">
      <c r="R786" s="159"/>
    </row>
    <row r="787" ht="15.75" customHeight="1">
      <c r="R787" s="159"/>
    </row>
    <row r="788" ht="15.75" customHeight="1">
      <c r="R788" s="159"/>
    </row>
    <row r="789" ht="15.75" customHeight="1">
      <c r="R789" s="159"/>
    </row>
    <row r="790" ht="15.75" customHeight="1">
      <c r="R790" s="159"/>
    </row>
    <row r="791" ht="15.75" customHeight="1">
      <c r="R791" s="159"/>
    </row>
    <row r="792" ht="15.75" customHeight="1">
      <c r="R792" s="159"/>
    </row>
    <row r="793" ht="15.75" customHeight="1">
      <c r="R793" s="159"/>
    </row>
    <row r="794" ht="15.75" customHeight="1">
      <c r="R794" s="159"/>
    </row>
    <row r="795" ht="15.75" customHeight="1">
      <c r="R795" s="159"/>
    </row>
    <row r="796" ht="15.75" customHeight="1">
      <c r="R796" s="159"/>
    </row>
    <row r="797" ht="15.75" customHeight="1">
      <c r="R797" s="159"/>
    </row>
    <row r="798" ht="15.75" customHeight="1">
      <c r="R798" s="159"/>
    </row>
    <row r="799" ht="15.75" customHeight="1">
      <c r="R799" s="159"/>
    </row>
    <row r="800" ht="15.75" customHeight="1">
      <c r="R800" s="159"/>
    </row>
    <row r="801" ht="15.75" customHeight="1">
      <c r="R801" s="159"/>
    </row>
    <row r="802" ht="15.75" customHeight="1">
      <c r="R802" s="159"/>
    </row>
    <row r="803" ht="15.75" customHeight="1">
      <c r="R803" s="159"/>
    </row>
    <row r="804" ht="15.75" customHeight="1">
      <c r="R804" s="159"/>
    </row>
    <row r="805" ht="15.75" customHeight="1">
      <c r="R805" s="159"/>
    </row>
    <row r="806" ht="15.75" customHeight="1">
      <c r="R806" s="159"/>
    </row>
    <row r="807" ht="15.75" customHeight="1">
      <c r="R807" s="159"/>
    </row>
    <row r="808" ht="15.75" customHeight="1">
      <c r="R808" s="159"/>
    </row>
    <row r="809" ht="15.75" customHeight="1">
      <c r="R809" s="159"/>
    </row>
    <row r="810" ht="15.75" customHeight="1">
      <c r="R810" s="159"/>
    </row>
    <row r="811" ht="15.75" customHeight="1">
      <c r="R811" s="159"/>
    </row>
    <row r="812" ht="15.75" customHeight="1">
      <c r="R812" s="159"/>
    </row>
    <row r="813" ht="15.75" customHeight="1">
      <c r="R813" s="159"/>
    </row>
    <row r="814" ht="15.75" customHeight="1">
      <c r="R814" s="159"/>
    </row>
    <row r="815" ht="15.75" customHeight="1">
      <c r="R815" s="159"/>
    </row>
    <row r="816" ht="15.75" customHeight="1">
      <c r="R816" s="159"/>
    </row>
    <row r="817" ht="15.75" customHeight="1">
      <c r="R817" s="159"/>
    </row>
    <row r="818" ht="15.75" customHeight="1">
      <c r="R818" s="159"/>
    </row>
    <row r="819" ht="15.75" customHeight="1">
      <c r="R819" s="159"/>
    </row>
    <row r="820" ht="15.75" customHeight="1">
      <c r="R820" s="159"/>
    </row>
    <row r="821" ht="15.75" customHeight="1">
      <c r="R821" s="159"/>
    </row>
    <row r="822" ht="15.75" customHeight="1">
      <c r="R822" s="159"/>
    </row>
    <row r="823" ht="15.75" customHeight="1">
      <c r="R823" s="159"/>
    </row>
    <row r="824" ht="15.75" customHeight="1">
      <c r="R824" s="159"/>
    </row>
    <row r="825" ht="15.75" customHeight="1">
      <c r="R825" s="159"/>
    </row>
    <row r="826" ht="15.75" customHeight="1">
      <c r="R826" s="159"/>
    </row>
    <row r="827" ht="15.75" customHeight="1">
      <c r="R827" s="159"/>
    </row>
    <row r="828" ht="15.75" customHeight="1">
      <c r="R828" s="159"/>
    </row>
    <row r="829" ht="15.75" customHeight="1">
      <c r="R829" s="159"/>
    </row>
    <row r="830" ht="15.75" customHeight="1">
      <c r="R830" s="159"/>
    </row>
    <row r="831" ht="15.75" customHeight="1">
      <c r="R831" s="159"/>
    </row>
    <row r="832" ht="15.75" customHeight="1">
      <c r="R832" s="159"/>
    </row>
    <row r="833" ht="15.75" customHeight="1">
      <c r="R833" s="159"/>
    </row>
    <row r="834" ht="15.75" customHeight="1">
      <c r="R834" s="159"/>
    </row>
    <row r="835" ht="15.75" customHeight="1">
      <c r="R835" s="159"/>
    </row>
    <row r="836" ht="15.75" customHeight="1">
      <c r="R836" s="159"/>
    </row>
    <row r="837" ht="15.75" customHeight="1">
      <c r="R837" s="159"/>
    </row>
    <row r="838" ht="15.75" customHeight="1">
      <c r="R838" s="159"/>
    </row>
    <row r="839" ht="15.75" customHeight="1">
      <c r="R839" s="159"/>
    </row>
    <row r="840" ht="15.75" customHeight="1">
      <c r="R840" s="159"/>
    </row>
    <row r="841" ht="15.75" customHeight="1">
      <c r="R841" s="159"/>
    </row>
    <row r="842" ht="15.75" customHeight="1">
      <c r="R842" s="159"/>
    </row>
    <row r="843" ht="15.75" customHeight="1">
      <c r="R843" s="159"/>
    </row>
    <row r="844" ht="15.75" customHeight="1">
      <c r="R844" s="159"/>
    </row>
    <row r="845" ht="15.75" customHeight="1">
      <c r="R845" s="159"/>
    </row>
    <row r="846" ht="15.75" customHeight="1">
      <c r="R846" s="159"/>
    </row>
    <row r="847" ht="15.75" customHeight="1">
      <c r="R847" s="159"/>
    </row>
    <row r="848" ht="15.75" customHeight="1">
      <c r="R848" s="159"/>
    </row>
    <row r="849" ht="15.75" customHeight="1">
      <c r="R849" s="159"/>
    </row>
    <row r="850" ht="15.75" customHeight="1">
      <c r="R850" s="159"/>
    </row>
    <row r="851" ht="15.75" customHeight="1">
      <c r="R851" s="159"/>
    </row>
    <row r="852" ht="15.75" customHeight="1">
      <c r="R852" s="159"/>
    </row>
    <row r="853" ht="15.75" customHeight="1">
      <c r="R853" s="159"/>
    </row>
    <row r="854" ht="15.75" customHeight="1">
      <c r="R854" s="159"/>
    </row>
    <row r="855" ht="15.75" customHeight="1">
      <c r="R855" s="159"/>
    </row>
    <row r="856" ht="15.75" customHeight="1">
      <c r="R856" s="159"/>
    </row>
    <row r="857" ht="15.75" customHeight="1">
      <c r="R857" s="159"/>
    </row>
    <row r="858" ht="15.75" customHeight="1">
      <c r="R858" s="159"/>
    </row>
    <row r="859" ht="15.75" customHeight="1">
      <c r="R859" s="159"/>
    </row>
    <row r="860" ht="15.75" customHeight="1">
      <c r="R860" s="159"/>
    </row>
    <row r="861" ht="15.75" customHeight="1">
      <c r="R861" s="159"/>
    </row>
    <row r="862" ht="15.75" customHeight="1">
      <c r="R862" s="159"/>
    </row>
    <row r="863" ht="15.75" customHeight="1">
      <c r="R863" s="159"/>
    </row>
    <row r="864" ht="15.75" customHeight="1">
      <c r="R864" s="159"/>
    </row>
    <row r="865" ht="15.75" customHeight="1">
      <c r="R865" s="159"/>
    </row>
    <row r="866" ht="15.75" customHeight="1">
      <c r="R866" s="159"/>
    </row>
    <row r="867" ht="15.75" customHeight="1">
      <c r="R867" s="159"/>
    </row>
    <row r="868" ht="15.75" customHeight="1">
      <c r="R868" s="159"/>
    </row>
    <row r="869" ht="15.75" customHeight="1">
      <c r="R869" s="159"/>
    </row>
    <row r="870" ht="15.75" customHeight="1">
      <c r="R870" s="159"/>
    </row>
    <row r="871" ht="15.75" customHeight="1">
      <c r="R871" s="159"/>
    </row>
    <row r="872" ht="15.75" customHeight="1">
      <c r="R872" s="159"/>
    </row>
    <row r="873" ht="15.75" customHeight="1">
      <c r="R873" s="159"/>
    </row>
    <row r="874" ht="15.75" customHeight="1">
      <c r="R874" s="159"/>
    </row>
    <row r="875" ht="15.75" customHeight="1">
      <c r="R875" s="159"/>
    </row>
    <row r="876" ht="15.75" customHeight="1">
      <c r="R876" s="159"/>
    </row>
    <row r="877" ht="15.75" customHeight="1">
      <c r="R877" s="159"/>
    </row>
    <row r="878" ht="15.75" customHeight="1">
      <c r="R878" s="159"/>
    </row>
    <row r="879" ht="15.75" customHeight="1">
      <c r="R879" s="159"/>
    </row>
    <row r="880" ht="15.75" customHeight="1">
      <c r="R880" s="159"/>
    </row>
    <row r="881" ht="15.75" customHeight="1">
      <c r="R881" s="159"/>
    </row>
    <row r="882" ht="15.75" customHeight="1">
      <c r="R882" s="159"/>
    </row>
    <row r="883" ht="15.75" customHeight="1">
      <c r="R883" s="159"/>
    </row>
    <row r="884" ht="15.75" customHeight="1">
      <c r="R884" s="159"/>
    </row>
    <row r="885" ht="15.75" customHeight="1">
      <c r="R885" s="159"/>
    </row>
    <row r="886" ht="15.75" customHeight="1">
      <c r="R886" s="159"/>
    </row>
    <row r="887" ht="15.75" customHeight="1">
      <c r="R887" s="159"/>
    </row>
    <row r="888" ht="15.75" customHeight="1">
      <c r="R888" s="159"/>
    </row>
    <row r="889" ht="15.75" customHeight="1">
      <c r="R889" s="159"/>
    </row>
    <row r="890" ht="15.75" customHeight="1">
      <c r="R890" s="159"/>
    </row>
    <row r="891" ht="15.75" customHeight="1">
      <c r="R891" s="159"/>
    </row>
    <row r="892" ht="15.75" customHeight="1">
      <c r="R892" s="159"/>
    </row>
    <row r="893" ht="15.75" customHeight="1">
      <c r="R893" s="159"/>
    </row>
    <row r="894" ht="15.75" customHeight="1">
      <c r="R894" s="159"/>
    </row>
    <row r="895" ht="15.75" customHeight="1">
      <c r="R895" s="159"/>
    </row>
    <row r="896" ht="15.75" customHeight="1">
      <c r="R896" s="159"/>
    </row>
    <row r="897" ht="15.75" customHeight="1">
      <c r="R897" s="159"/>
    </row>
    <row r="898" ht="15.75" customHeight="1">
      <c r="R898" s="159"/>
    </row>
    <row r="899" ht="15.75" customHeight="1">
      <c r="R899" s="159"/>
    </row>
    <row r="900" ht="15.75" customHeight="1">
      <c r="R900" s="159"/>
    </row>
    <row r="901" ht="15.75" customHeight="1">
      <c r="R901" s="159"/>
    </row>
    <row r="902" ht="15.75" customHeight="1">
      <c r="R902" s="159"/>
    </row>
    <row r="903" ht="15.75" customHeight="1">
      <c r="R903" s="159"/>
    </row>
    <row r="904" ht="15.75" customHeight="1">
      <c r="R904" s="159"/>
    </row>
    <row r="905" ht="15.75" customHeight="1">
      <c r="R905" s="159"/>
    </row>
    <row r="906" ht="15.75" customHeight="1">
      <c r="R906" s="159"/>
    </row>
    <row r="907" ht="15.75" customHeight="1">
      <c r="R907" s="159"/>
    </row>
    <row r="908" ht="15.75" customHeight="1">
      <c r="R908" s="159"/>
    </row>
    <row r="909" ht="15.75" customHeight="1">
      <c r="R909" s="159"/>
    </row>
    <row r="910" ht="15.75" customHeight="1">
      <c r="R910" s="159"/>
    </row>
    <row r="911" ht="15.75" customHeight="1">
      <c r="R911" s="159"/>
    </row>
    <row r="912" ht="15.75" customHeight="1">
      <c r="R912" s="159"/>
    </row>
    <row r="913" ht="15.75" customHeight="1">
      <c r="R913" s="159"/>
    </row>
    <row r="914" ht="15.75" customHeight="1">
      <c r="R914" s="159"/>
    </row>
    <row r="915" ht="15.75" customHeight="1">
      <c r="R915" s="159"/>
    </row>
    <row r="916" ht="15.75" customHeight="1">
      <c r="R916" s="159"/>
    </row>
    <row r="917" ht="15.75" customHeight="1">
      <c r="R917" s="159"/>
    </row>
    <row r="918" ht="15.75" customHeight="1">
      <c r="R918" s="159"/>
    </row>
    <row r="919" ht="15.75" customHeight="1">
      <c r="R919" s="159"/>
    </row>
    <row r="920" ht="15.75" customHeight="1">
      <c r="R920" s="159"/>
    </row>
    <row r="921" ht="15.75" customHeight="1">
      <c r="R921" s="159"/>
    </row>
    <row r="922" ht="15.75" customHeight="1">
      <c r="R922" s="159"/>
    </row>
    <row r="923" ht="15.75" customHeight="1">
      <c r="R923" s="159"/>
    </row>
    <row r="924" ht="15.75" customHeight="1">
      <c r="R924" s="159"/>
    </row>
    <row r="925" ht="15.75" customHeight="1">
      <c r="R925" s="159"/>
    </row>
    <row r="926" ht="15.75" customHeight="1">
      <c r="R926" s="159"/>
    </row>
    <row r="927" ht="15.75" customHeight="1">
      <c r="R927" s="159"/>
    </row>
    <row r="928" ht="15.75" customHeight="1">
      <c r="R928" s="159"/>
    </row>
    <row r="929" ht="15.75" customHeight="1">
      <c r="R929" s="159"/>
    </row>
    <row r="930" ht="15.75" customHeight="1">
      <c r="R930" s="159"/>
    </row>
    <row r="931" ht="15.75" customHeight="1">
      <c r="R931" s="159"/>
    </row>
    <row r="932" ht="15.75" customHeight="1">
      <c r="R932" s="159"/>
    </row>
    <row r="933" ht="15.75" customHeight="1">
      <c r="R933" s="159"/>
    </row>
    <row r="934" ht="15.75" customHeight="1">
      <c r="R934" s="159"/>
    </row>
    <row r="935" ht="15.75" customHeight="1">
      <c r="R935" s="159"/>
    </row>
    <row r="936" ht="15.75" customHeight="1">
      <c r="R936" s="159"/>
    </row>
    <row r="937" ht="15.75" customHeight="1">
      <c r="R937" s="159"/>
    </row>
    <row r="938" ht="15.75" customHeight="1">
      <c r="R938" s="159"/>
    </row>
    <row r="939" ht="15.75" customHeight="1">
      <c r="R939" s="159"/>
    </row>
    <row r="940" ht="15.75" customHeight="1">
      <c r="R940" s="159"/>
    </row>
    <row r="941" ht="15.75" customHeight="1">
      <c r="R941" s="159"/>
    </row>
    <row r="942" ht="15.75" customHeight="1">
      <c r="R942" s="159"/>
    </row>
    <row r="943" ht="15.75" customHeight="1">
      <c r="R943" s="159"/>
    </row>
    <row r="944" ht="15.75" customHeight="1">
      <c r="R944" s="159"/>
    </row>
    <row r="945" ht="15.75" customHeight="1">
      <c r="R945" s="159"/>
    </row>
    <row r="946" ht="15.75" customHeight="1">
      <c r="R946" s="159"/>
    </row>
    <row r="947" ht="15.75" customHeight="1">
      <c r="R947" s="159"/>
    </row>
    <row r="948" ht="15.75" customHeight="1">
      <c r="R948" s="159"/>
    </row>
    <row r="949" ht="15.75" customHeight="1">
      <c r="R949" s="159"/>
    </row>
    <row r="950" ht="15.75" customHeight="1">
      <c r="R950" s="159"/>
    </row>
    <row r="951" ht="15.75" customHeight="1">
      <c r="R951" s="159"/>
    </row>
    <row r="952" ht="15.75" customHeight="1">
      <c r="R952" s="159"/>
    </row>
    <row r="953" ht="15.75" customHeight="1">
      <c r="R953" s="159"/>
    </row>
    <row r="954" ht="15.75" customHeight="1">
      <c r="R954" s="159"/>
    </row>
    <row r="955" ht="15.75" customHeight="1">
      <c r="R955" s="159"/>
    </row>
    <row r="956" ht="15.75" customHeight="1">
      <c r="R956" s="159"/>
    </row>
    <row r="957" ht="15.75" customHeight="1">
      <c r="R957" s="159"/>
    </row>
    <row r="958" ht="15.75" customHeight="1">
      <c r="R958" s="159"/>
    </row>
    <row r="959" ht="15.75" customHeight="1">
      <c r="R959" s="159"/>
    </row>
    <row r="960" ht="15.75" customHeight="1">
      <c r="R960" s="159"/>
    </row>
    <row r="961" ht="15.75" customHeight="1">
      <c r="R961" s="159"/>
    </row>
    <row r="962" ht="15.75" customHeight="1">
      <c r="R962" s="159"/>
    </row>
    <row r="963" ht="15.75" customHeight="1">
      <c r="R963" s="159"/>
    </row>
    <row r="964" ht="15.75" customHeight="1">
      <c r="R964" s="159"/>
    </row>
    <row r="965" ht="15.75" customHeight="1">
      <c r="R965" s="159"/>
    </row>
    <row r="966" ht="15.75" customHeight="1">
      <c r="R966" s="159"/>
    </row>
    <row r="967" ht="15.75" customHeight="1">
      <c r="R967" s="159"/>
    </row>
    <row r="968" ht="15.75" customHeight="1">
      <c r="R968" s="159"/>
    </row>
    <row r="969" ht="15.75" customHeight="1">
      <c r="R969" s="159"/>
    </row>
    <row r="970" ht="15.75" customHeight="1">
      <c r="R970" s="159"/>
    </row>
    <row r="971" ht="15.75" customHeight="1">
      <c r="R971" s="159"/>
    </row>
    <row r="972" ht="15.75" customHeight="1">
      <c r="R972" s="159"/>
    </row>
    <row r="973" ht="15.75" customHeight="1">
      <c r="R973" s="159"/>
    </row>
    <row r="974" ht="15.75" customHeight="1">
      <c r="R974" s="159"/>
    </row>
    <row r="975" ht="15.75" customHeight="1">
      <c r="R975" s="159"/>
    </row>
    <row r="976" ht="15.75" customHeight="1">
      <c r="R976" s="159"/>
    </row>
    <row r="977" ht="15.75" customHeight="1">
      <c r="R977" s="159"/>
    </row>
    <row r="978" ht="15.75" customHeight="1">
      <c r="R978" s="159"/>
    </row>
    <row r="979" ht="15.75" customHeight="1">
      <c r="R979" s="159"/>
    </row>
    <row r="980" ht="15.75" customHeight="1">
      <c r="R980" s="159"/>
    </row>
    <row r="981" ht="15.75" customHeight="1">
      <c r="R981" s="159"/>
    </row>
    <row r="982" ht="15.75" customHeight="1">
      <c r="R982" s="159"/>
    </row>
    <row r="983" ht="15.75" customHeight="1">
      <c r="R983" s="159"/>
    </row>
    <row r="984" ht="15.75" customHeight="1">
      <c r="R984" s="159"/>
    </row>
    <row r="985" ht="15.75" customHeight="1">
      <c r="R985" s="159"/>
    </row>
    <row r="986" ht="15.75" customHeight="1">
      <c r="R986" s="159"/>
    </row>
    <row r="987" ht="15.75" customHeight="1">
      <c r="R987" s="159"/>
    </row>
    <row r="988" ht="15.75" customHeight="1">
      <c r="R988" s="159"/>
    </row>
    <row r="989" ht="15.75" customHeight="1">
      <c r="R989" s="159"/>
    </row>
    <row r="990" ht="15.75" customHeight="1">
      <c r="R990" s="159"/>
    </row>
    <row r="991" ht="15.75" customHeight="1">
      <c r="R991" s="159"/>
    </row>
    <row r="992" ht="15.75" customHeight="1">
      <c r="R992" s="159"/>
    </row>
    <row r="993" ht="15.75" customHeight="1">
      <c r="R993" s="159"/>
    </row>
    <row r="994" ht="15.75" customHeight="1">
      <c r="R994" s="159"/>
    </row>
    <row r="995" ht="15.75" customHeight="1">
      <c r="R995" s="159"/>
    </row>
    <row r="996" ht="15.75" customHeight="1">
      <c r="R996" s="159"/>
    </row>
    <row r="997" ht="15.75" customHeight="1">
      <c r="R997" s="159"/>
    </row>
    <row r="998" ht="15.75" customHeight="1">
      <c r="R998" s="159"/>
    </row>
    <row r="999" ht="15.75" customHeight="1">
      <c r="R999" s="159"/>
    </row>
    <row r="1000" ht="15.75" customHeight="1">
      <c r="R1000" s="159"/>
    </row>
  </sheetData>
  <mergeCells count="2">
    <mergeCell ref="O1:O2"/>
    <mergeCell ref="Q1:Q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86"/>
    <col customWidth="1" min="3" max="15" width="8.71"/>
    <col customWidth="1" min="16" max="16" width="11.43"/>
    <col customWidth="1" min="17" max="26" width="8.71"/>
  </cols>
  <sheetData>
    <row r="1" ht="42.75" customHeight="1">
      <c r="A1" s="151"/>
      <c r="B1" s="152" t="s">
        <v>139</v>
      </c>
      <c r="C1" s="153" t="s">
        <v>152</v>
      </c>
      <c r="D1" s="153" t="s">
        <v>141</v>
      </c>
      <c r="E1" s="154" t="s">
        <v>142</v>
      </c>
      <c r="F1" s="154" t="s">
        <v>143</v>
      </c>
      <c r="G1" s="154" t="s">
        <v>144</v>
      </c>
      <c r="H1" s="153" t="s">
        <v>145</v>
      </c>
      <c r="I1" s="154" t="s">
        <v>146</v>
      </c>
      <c r="J1" s="155" t="s">
        <v>107</v>
      </c>
      <c r="K1" s="156"/>
      <c r="L1" s="156"/>
      <c r="M1" s="156"/>
      <c r="N1" s="156"/>
      <c r="O1" s="157" t="s">
        <v>147</v>
      </c>
      <c r="Q1" s="158" t="s">
        <v>148</v>
      </c>
    </row>
    <row r="2">
      <c r="A2" s="151"/>
      <c r="B2" s="160"/>
      <c r="C2" s="161">
        <v>1.0</v>
      </c>
      <c r="D2" s="161">
        <v>2.0</v>
      </c>
      <c r="E2" s="161">
        <v>3.0</v>
      </c>
      <c r="F2" s="161">
        <v>4.0</v>
      </c>
      <c r="G2" s="161">
        <v>5.0</v>
      </c>
      <c r="H2" s="161">
        <v>6.0</v>
      </c>
      <c r="I2" s="161">
        <v>7.0</v>
      </c>
      <c r="J2" s="161">
        <v>8.0</v>
      </c>
      <c r="K2" s="162" t="s">
        <v>153</v>
      </c>
      <c r="L2" s="162" t="s">
        <v>154</v>
      </c>
      <c r="M2" s="162" t="s">
        <v>155</v>
      </c>
      <c r="N2" s="162" t="s">
        <v>156</v>
      </c>
      <c r="O2" s="163"/>
      <c r="Q2" s="164"/>
    </row>
    <row r="3">
      <c r="A3" s="165">
        <v>1.0</v>
      </c>
      <c r="B3" s="166" t="s">
        <v>9</v>
      </c>
      <c r="C3" s="168">
        <v>86.0</v>
      </c>
      <c r="D3" s="168">
        <v>82.0</v>
      </c>
      <c r="E3" s="168">
        <v>81.0</v>
      </c>
      <c r="F3" s="168">
        <v>81.0</v>
      </c>
      <c r="G3" s="168">
        <v>81.0</v>
      </c>
      <c r="H3" s="168">
        <v>84.0</v>
      </c>
      <c r="I3" s="198">
        <v>88.0</v>
      </c>
      <c r="J3" s="199">
        <v>84.0</v>
      </c>
      <c r="K3" s="200">
        <v>84.0</v>
      </c>
      <c r="L3" s="201">
        <v>84.0</v>
      </c>
      <c r="M3" s="201"/>
      <c r="N3" s="202"/>
      <c r="O3" s="203">
        <f t="shared" ref="O3:O43" si="1">ROUND(P3,0)</f>
        <v>83</v>
      </c>
      <c r="P3" s="1">
        <f t="shared" ref="P3:P43" si="2">SUM(C3:J3)/8</f>
        <v>83.375</v>
      </c>
      <c r="Q3" s="1">
        <f t="shared" ref="Q3:Q34" si="3">RANK(P3,$P$3:$P$34)</f>
        <v>3</v>
      </c>
    </row>
    <row r="4">
      <c r="A4" s="175">
        <v>2.0</v>
      </c>
      <c r="B4" s="176" t="s">
        <v>12</v>
      </c>
      <c r="C4" s="168">
        <v>84.0</v>
      </c>
      <c r="D4" s="168">
        <v>82.0</v>
      </c>
      <c r="E4" s="168">
        <v>82.0</v>
      </c>
      <c r="F4" s="168">
        <v>82.0</v>
      </c>
      <c r="G4" s="168">
        <v>80.0</v>
      </c>
      <c r="H4" s="168">
        <v>82.0</v>
      </c>
      <c r="I4" s="198">
        <v>85.0</v>
      </c>
      <c r="J4" s="199">
        <v>85.0</v>
      </c>
      <c r="K4" s="200">
        <v>84.0</v>
      </c>
      <c r="L4" s="201">
        <v>85.0</v>
      </c>
      <c r="M4" s="201"/>
      <c r="N4" s="202"/>
      <c r="O4" s="203">
        <f t="shared" si="1"/>
        <v>83</v>
      </c>
      <c r="P4" s="1">
        <f t="shared" si="2"/>
        <v>82.75</v>
      </c>
      <c r="Q4" s="1">
        <f t="shared" si="3"/>
        <v>4</v>
      </c>
    </row>
    <row r="5">
      <c r="A5" s="175">
        <v>3.0</v>
      </c>
      <c r="B5" s="176" t="s">
        <v>13</v>
      </c>
      <c r="C5" s="168">
        <v>83.0</v>
      </c>
      <c r="D5" s="168">
        <v>84.0</v>
      </c>
      <c r="E5" s="168">
        <v>85.0</v>
      </c>
      <c r="F5" s="168">
        <v>82.0</v>
      </c>
      <c r="G5" s="168">
        <v>83.0</v>
      </c>
      <c r="H5" s="168">
        <v>81.0</v>
      </c>
      <c r="I5" s="198">
        <v>80.0</v>
      </c>
      <c r="J5" s="199">
        <v>82.0</v>
      </c>
      <c r="K5" s="200">
        <v>81.0</v>
      </c>
      <c r="L5" s="201">
        <v>82.0</v>
      </c>
      <c r="M5" s="201"/>
      <c r="N5" s="202"/>
      <c r="O5" s="203">
        <f t="shared" si="1"/>
        <v>83</v>
      </c>
      <c r="P5" s="1">
        <f t="shared" si="2"/>
        <v>82.5</v>
      </c>
      <c r="Q5" s="1">
        <f t="shared" si="3"/>
        <v>5</v>
      </c>
    </row>
    <row r="6">
      <c r="A6" s="165">
        <v>4.0</v>
      </c>
      <c r="B6" s="176" t="s">
        <v>14</v>
      </c>
      <c r="C6" s="168">
        <v>84.0</v>
      </c>
      <c r="D6" s="168">
        <v>80.0</v>
      </c>
      <c r="E6" s="168">
        <v>80.0</v>
      </c>
      <c r="F6" s="168">
        <v>80.0</v>
      </c>
      <c r="G6" s="168">
        <v>78.0</v>
      </c>
      <c r="H6" s="168">
        <v>81.0</v>
      </c>
      <c r="I6" s="198">
        <v>85.0</v>
      </c>
      <c r="J6" s="199">
        <v>85.0</v>
      </c>
      <c r="K6" s="200">
        <v>84.0</v>
      </c>
      <c r="L6" s="201">
        <v>85.0</v>
      </c>
      <c r="M6" s="201"/>
      <c r="N6" s="202"/>
      <c r="O6" s="203">
        <f t="shared" si="1"/>
        <v>82</v>
      </c>
      <c r="P6" s="1">
        <f t="shared" si="2"/>
        <v>81.625</v>
      </c>
      <c r="Q6" s="1">
        <f t="shared" si="3"/>
        <v>7</v>
      </c>
    </row>
    <row r="7">
      <c r="A7" s="175">
        <v>5.0</v>
      </c>
      <c r="B7" s="176" t="s">
        <v>15</v>
      </c>
      <c r="C7" s="168">
        <v>85.0</v>
      </c>
      <c r="D7" s="168">
        <v>83.0</v>
      </c>
      <c r="E7" s="168">
        <v>83.0</v>
      </c>
      <c r="F7" s="168">
        <v>84.0</v>
      </c>
      <c r="G7" s="168">
        <v>82.0</v>
      </c>
      <c r="H7" s="168">
        <v>82.0</v>
      </c>
      <c r="I7" s="198">
        <v>85.0</v>
      </c>
      <c r="J7" s="199">
        <v>86.0</v>
      </c>
      <c r="K7" s="200">
        <v>86.0</v>
      </c>
      <c r="L7" s="201">
        <v>86.0</v>
      </c>
      <c r="M7" s="201"/>
      <c r="N7" s="202"/>
      <c r="O7" s="203">
        <f t="shared" si="1"/>
        <v>84</v>
      </c>
      <c r="P7" s="1">
        <f t="shared" si="2"/>
        <v>83.75</v>
      </c>
      <c r="Q7" s="1">
        <f t="shared" si="3"/>
        <v>2</v>
      </c>
    </row>
    <row r="8">
      <c r="A8" s="175">
        <v>6.0</v>
      </c>
      <c r="B8" s="176" t="s">
        <v>16</v>
      </c>
      <c r="C8" s="168">
        <v>85.0</v>
      </c>
      <c r="D8" s="168">
        <v>78.0</v>
      </c>
      <c r="E8" s="168">
        <v>80.0</v>
      </c>
      <c r="F8" s="168">
        <v>83.0</v>
      </c>
      <c r="G8" s="168">
        <v>77.0</v>
      </c>
      <c r="H8" s="168">
        <v>84.0</v>
      </c>
      <c r="I8" s="198">
        <v>84.0</v>
      </c>
      <c r="J8" s="199">
        <v>85.0</v>
      </c>
      <c r="K8" s="200">
        <v>85.0</v>
      </c>
      <c r="L8" s="201">
        <v>85.0</v>
      </c>
      <c r="M8" s="201"/>
      <c r="N8" s="202"/>
      <c r="O8" s="203">
        <f t="shared" si="1"/>
        <v>82</v>
      </c>
      <c r="P8" s="1">
        <f t="shared" si="2"/>
        <v>82</v>
      </c>
      <c r="Q8" s="1">
        <f t="shared" si="3"/>
        <v>6</v>
      </c>
    </row>
    <row r="9">
      <c r="A9" s="165">
        <v>7.0</v>
      </c>
      <c r="B9" s="176" t="s">
        <v>17</v>
      </c>
      <c r="C9" s="168">
        <v>90.0</v>
      </c>
      <c r="D9" s="168">
        <v>89.0</v>
      </c>
      <c r="E9" s="168">
        <v>84.0</v>
      </c>
      <c r="F9" s="168">
        <v>82.0</v>
      </c>
      <c r="G9" s="168">
        <v>88.0</v>
      </c>
      <c r="H9" s="168">
        <v>89.0</v>
      </c>
      <c r="I9" s="198">
        <v>88.0</v>
      </c>
      <c r="J9" s="199">
        <v>89.0</v>
      </c>
      <c r="K9" s="200">
        <v>89.0</v>
      </c>
      <c r="L9" s="201">
        <v>89.0</v>
      </c>
      <c r="M9" s="201"/>
      <c r="N9" s="202"/>
      <c r="O9" s="203">
        <f t="shared" si="1"/>
        <v>87</v>
      </c>
      <c r="P9" s="1">
        <f t="shared" si="2"/>
        <v>87.375</v>
      </c>
      <c r="Q9" s="1">
        <f t="shared" si="3"/>
        <v>1</v>
      </c>
    </row>
    <row r="10">
      <c r="A10" s="175">
        <v>8.0</v>
      </c>
      <c r="B10" s="176" t="s">
        <v>18</v>
      </c>
      <c r="C10" s="168">
        <v>83.0</v>
      </c>
      <c r="D10" s="168">
        <v>81.0</v>
      </c>
      <c r="E10" s="168">
        <v>81.0</v>
      </c>
      <c r="F10" s="168">
        <v>83.0</v>
      </c>
      <c r="G10" s="168">
        <v>80.0</v>
      </c>
      <c r="H10" s="168">
        <v>81.0</v>
      </c>
      <c r="I10" s="198">
        <v>82.0</v>
      </c>
      <c r="J10" s="199">
        <v>82.0</v>
      </c>
      <c r="K10" s="200">
        <v>82.0</v>
      </c>
      <c r="L10" s="201">
        <v>81.0</v>
      </c>
      <c r="M10" s="201"/>
      <c r="N10" s="202"/>
      <c r="O10" s="203">
        <f t="shared" si="1"/>
        <v>82</v>
      </c>
      <c r="P10" s="1">
        <f t="shared" si="2"/>
        <v>81.625</v>
      </c>
      <c r="Q10" s="1">
        <f t="shared" si="3"/>
        <v>7</v>
      </c>
    </row>
    <row r="11">
      <c r="A11" s="175">
        <v>9.0</v>
      </c>
      <c r="B11" s="176" t="s">
        <v>19</v>
      </c>
      <c r="C11" s="168">
        <v>82.0</v>
      </c>
      <c r="D11" s="168">
        <v>80.0</v>
      </c>
      <c r="E11" s="168">
        <v>84.0</v>
      </c>
      <c r="F11" s="168">
        <v>83.0</v>
      </c>
      <c r="G11" s="168">
        <v>79.0</v>
      </c>
      <c r="H11" s="168">
        <v>77.0</v>
      </c>
      <c r="I11" s="198">
        <v>79.0</v>
      </c>
      <c r="J11" s="199">
        <v>80.0</v>
      </c>
      <c r="K11" s="200">
        <v>79.0</v>
      </c>
      <c r="L11" s="201">
        <v>80.0</v>
      </c>
      <c r="M11" s="201"/>
      <c r="N11" s="202"/>
      <c r="O11" s="203">
        <f t="shared" si="1"/>
        <v>81</v>
      </c>
      <c r="P11" s="1">
        <f t="shared" si="2"/>
        <v>80.5</v>
      </c>
      <c r="Q11" s="1">
        <f t="shared" si="3"/>
        <v>9</v>
      </c>
    </row>
    <row r="12">
      <c r="A12" s="165">
        <v>10.0</v>
      </c>
      <c r="B12" s="176" t="s">
        <v>20</v>
      </c>
      <c r="C12" s="168">
        <v>82.0</v>
      </c>
      <c r="D12" s="168">
        <v>78.0</v>
      </c>
      <c r="E12" s="168">
        <v>78.0</v>
      </c>
      <c r="F12" s="168">
        <v>78.0</v>
      </c>
      <c r="G12" s="168">
        <v>77.0</v>
      </c>
      <c r="H12" s="168">
        <v>79.0</v>
      </c>
      <c r="I12" s="198">
        <v>80.0</v>
      </c>
      <c r="J12" s="199">
        <v>79.0</v>
      </c>
      <c r="K12" s="200">
        <v>78.0</v>
      </c>
      <c r="L12" s="201">
        <v>79.0</v>
      </c>
      <c r="M12" s="201"/>
      <c r="N12" s="202"/>
      <c r="O12" s="203">
        <f t="shared" si="1"/>
        <v>79</v>
      </c>
      <c r="P12" s="1">
        <f t="shared" si="2"/>
        <v>78.875</v>
      </c>
      <c r="Q12" s="1">
        <f t="shared" si="3"/>
        <v>10</v>
      </c>
    </row>
    <row r="13">
      <c r="A13" s="175">
        <v>11.0</v>
      </c>
      <c r="B13" s="176"/>
      <c r="C13" s="168"/>
      <c r="D13" s="168"/>
      <c r="E13" s="168"/>
      <c r="F13" s="168"/>
      <c r="G13" s="168"/>
      <c r="H13" s="168"/>
      <c r="I13" s="198"/>
      <c r="J13" s="199"/>
      <c r="K13" s="200"/>
      <c r="L13" s="201"/>
      <c r="M13" s="201"/>
      <c r="N13" s="202"/>
      <c r="O13" s="203">
        <f t="shared" si="1"/>
        <v>0</v>
      </c>
      <c r="P13" s="1">
        <f t="shared" si="2"/>
        <v>0</v>
      </c>
      <c r="Q13" s="1">
        <f t="shared" si="3"/>
        <v>11</v>
      </c>
    </row>
    <row r="14">
      <c r="A14" s="175">
        <v>12.0</v>
      </c>
      <c r="B14" s="176"/>
      <c r="C14" s="168"/>
      <c r="D14" s="168"/>
      <c r="E14" s="168"/>
      <c r="F14" s="168"/>
      <c r="G14" s="168"/>
      <c r="H14" s="168"/>
      <c r="I14" s="198"/>
      <c r="J14" s="199"/>
      <c r="K14" s="200"/>
      <c r="L14" s="201"/>
      <c r="M14" s="201"/>
      <c r="N14" s="202"/>
      <c r="O14" s="203">
        <f t="shared" si="1"/>
        <v>0</v>
      </c>
      <c r="P14" s="1">
        <f t="shared" si="2"/>
        <v>0</v>
      </c>
      <c r="Q14" s="1">
        <f t="shared" si="3"/>
        <v>11</v>
      </c>
    </row>
    <row r="15">
      <c r="A15" s="165">
        <v>13.0</v>
      </c>
      <c r="B15" s="176"/>
      <c r="C15" s="168"/>
      <c r="D15" s="168"/>
      <c r="E15" s="168"/>
      <c r="F15" s="168"/>
      <c r="G15" s="168"/>
      <c r="H15" s="168"/>
      <c r="I15" s="198"/>
      <c r="J15" s="199"/>
      <c r="K15" s="200"/>
      <c r="L15" s="201"/>
      <c r="M15" s="201"/>
      <c r="N15" s="202"/>
      <c r="O15" s="203">
        <f t="shared" si="1"/>
        <v>0</v>
      </c>
      <c r="P15" s="1">
        <f t="shared" si="2"/>
        <v>0</v>
      </c>
      <c r="Q15" s="1">
        <f t="shared" si="3"/>
        <v>11</v>
      </c>
    </row>
    <row r="16">
      <c r="A16" s="175">
        <v>14.0</v>
      </c>
      <c r="B16" s="176"/>
      <c r="C16" s="168"/>
      <c r="D16" s="168"/>
      <c r="E16" s="168"/>
      <c r="F16" s="168"/>
      <c r="G16" s="168"/>
      <c r="H16" s="168"/>
      <c r="I16" s="198"/>
      <c r="J16" s="199"/>
      <c r="K16" s="200"/>
      <c r="L16" s="201"/>
      <c r="M16" s="201"/>
      <c r="N16" s="202"/>
      <c r="O16" s="203">
        <f t="shared" si="1"/>
        <v>0</v>
      </c>
      <c r="P16" s="1">
        <f t="shared" si="2"/>
        <v>0</v>
      </c>
      <c r="Q16" s="1">
        <f t="shared" si="3"/>
        <v>11</v>
      </c>
    </row>
    <row r="17">
      <c r="A17" s="165">
        <v>15.0</v>
      </c>
      <c r="B17" s="178"/>
      <c r="C17" s="168"/>
      <c r="D17" s="168"/>
      <c r="E17" s="168"/>
      <c r="F17" s="168"/>
      <c r="G17" s="168"/>
      <c r="H17" s="168"/>
      <c r="I17" s="198"/>
      <c r="J17" s="199"/>
      <c r="K17" s="200"/>
      <c r="L17" s="201"/>
      <c r="M17" s="201"/>
      <c r="N17" s="202"/>
      <c r="O17" s="203">
        <f t="shared" si="1"/>
        <v>0</v>
      </c>
      <c r="P17" s="1">
        <f t="shared" si="2"/>
        <v>0</v>
      </c>
      <c r="Q17" s="1">
        <f t="shared" si="3"/>
        <v>11</v>
      </c>
    </row>
    <row r="18">
      <c r="A18" s="175">
        <v>16.0</v>
      </c>
      <c r="B18" s="176"/>
      <c r="C18" s="168"/>
      <c r="D18" s="168"/>
      <c r="E18" s="168"/>
      <c r="F18" s="168"/>
      <c r="G18" s="168"/>
      <c r="H18" s="168"/>
      <c r="I18" s="198"/>
      <c r="J18" s="199"/>
      <c r="K18" s="200"/>
      <c r="L18" s="201"/>
      <c r="M18" s="201"/>
      <c r="N18" s="202"/>
      <c r="O18" s="203">
        <f t="shared" si="1"/>
        <v>0</v>
      </c>
      <c r="P18" s="1">
        <f t="shared" si="2"/>
        <v>0</v>
      </c>
      <c r="Q18" s="1">
        <f t="shared" si="3"/>
        <v>11</v>
      </c>
    </row>
    <row r="19">
      <c r="A19" s="175">
        <v>17.0</v>
      </c>
      <c r="B19" s="176"/>
      <c r="C19" s="168"/>
      <c r="D19" s="168"/>
      <c r="E19" s="168"/>
      <c r="F19" s="168"/>
      <c r="G19" s="168"/>
      <c r="H19" s="168"/>
      <c r="I19" s="198"/>
      <c r="J19" s="199"/>
      <c r="K19" s="200"/>
      <c r="L19" s="201"/>
      <c r="M19" s="201"/>
      <c r="N19" s="202"/>
      <c r="O19" s="204">
        <f t="shared" si="1"/>
        <v>0</v>
      </c>
      <c r="P19" s="1">
        <f t="shared" si="2"/>
        <v>0</v>
      </c>
      <c r="Q19" s="1">
        <f t="shared" si="3"/>
        <v>11</v>
      </c>
    </row>
    <row r="20">
      <c r="A20" s="165">
        <v>18.0</v>
      </c>
      <c r="B20" s="176"/>
      <c r="C20" s="168"/>
      <c r="D20" s="168"/>
      <c r="E20" s="168"/>
      <c r="F20" s="168"/>
      <c r="G20" s="168"/>
      <c r="H20" s="168"/>
      <c r="I20" s="198"/>
      <c r="J20" s="199"/>
      <c r="K20" s="200"/>
      <c r="L20" s="201"/>
      <c r="M20" s="201"/>
      <c r="N20" s="202"/>
      <c r="O20" s="203">
        <f t="shared" si="1"/>
        <v>0</v>
      </c>
      <c r="P20" s="1">
        <f t="shared" si="2"/>
        <v>0</v>
      </c>
      <c r="Q20" s="1">
        <f t="shared" si="3"/>
        <v>11</v>
      </c>
    </row>
    <row r="21" ht="15.75" customHeight="1">
      <c r="A21" s="175">
        <v>19.0</v>
      </c>
      <c r="B21" s="179"/>
      <c r="C21" s="168"/>
      <c r="D21" s="168"/>
      <c r="E21" s="168"/>
      <c r="F21" s="168"/>
      <c r="G21" s="168"/>
      <c r="H21" s="168"/>
      <c r="I21" s="198"/>
      <c r="J21" s="199"/>
      <c r="K21" s="200"/>
      <c r="L21" s="201"/>
      <c r="M21" s="201"/>
      <c r="N21" s="202"/>
      <c r="O21" s="203">
        <f t="shared" si="1"/>
        <v>0</v>
      </c>
      <c r="P21" s="1">
        <f t="shared" si="2"/>
        <v>0</v>
      </c>
      <c r="Q21" s="1">
        <f t="shared" si="3"/>
        <v>11</v>
      </c>
    </row>
    <row r="22" ht="15.75" customHeight="1">
      <c r="A22" s="175">
        <v>20.0</v>
      </c>
      <c r="B22" s="179"/>
      <c r="C22" s="168"/>
      <c r="D22" s="168"/>
      <c r="E22" s="168"/>
      <c r="F22" s="168"/>
      <c r="G22" s="168"/>
      <c r="H22" s="168"/>
      <c r="I22" s="198"/>
      <c r="J22" s="199"/>
      <c r="K22" s="200"/>
      <c r="L22" s="201"/>
      <c r="M22" s="201"/>
      <c r="N22" s="202"/>
      <c r="O22" s="203">
        <f t="shared" si="1"/>
        <v>0</v>
      </c>
      <c r="P22" s="1">
        <f t="shared" si="2"/>
        <v>0</v>
      </c>
      <c r="Q22" s="1">
        <f t="shared" si="3"/>
        <v>11</v>
      </c>
    </row>
    <row r="23" ht="15.75" customHeight="1">
      <c r="A23" s="165">
        <v>21.0</v>
      </c>
      <c r="B23" s="179"/>
      <c r="C23" s="168"/>
      <c r="D23" s="168"/>
      <c r="E23" s="168"/>
      <c r="F23" s="168"/>
      <c r="G23" s="168"/>
      <c r="H23" s="168"/>
      <c r="I23" s="198"/>
      <c r="J23" s="199"/>
      <c r="K23" s="200"/>
      <c r="L23" s="201"/>
      <c r="M23" s="201"/>
      <c r="N23" s="202"/>
      <c r="O23" s="203">
        <f t="shared" si="1"/>
        <v>0</v>
      </c>
      <c r="P23" s="1">
        <f t="shared" si="2"/>
        <v>0</v>
      </c>
      <c r="Q23" s="1">
        <f t="shared" si="3"/>
        <v>11</v>
      </c>
    </row>
    <row r="24" ht="15.75" customHeight="1">
      <c r="A24" s="175">
        <v>22.0</v>
      </c>
      <c r="B24" s="179"/>
      <c r="C24" s="205"/>
      <c r="D24" s="205"/>
      <c r="E24" s="205"/>
      <c r="F24" s="205"/>
      <c r="G24" s="205"/>
      <c r="H24" s="205"/>
      <c r="I24" s="206"/>
      <c r="J24" s="199"/>
      <c r="K24" s="207"/>
      <c r="L24" s="208"/>
      <c r="M24" s="208"/>
      <c r="N24" s="209"/>
      <c r="O24" s="210">
        <f t="shared" si="1"/>
        <v>0</v>
      </c>
      <c r="P24" s="1">
        <f t="shared" si="2"/>
        <v>0</v>
      </c>
      <c r="Q24" s="1">
        <f t="shared" si="3"/>
        <v>11</v>
      </c>
    </row>
    <row r="25" ht="15.75" customHeight="1">
      <c r="A25" s="175">
        <v>23.0</v>
      </c>
      <c r="B25" s="180"/>
      <c r="C25" s="211"/>
      <c r="D25" s="211"/>
      <c r="E25" s="211"/>
      <c r="F25" s="211"/>
      <c r="G25" s="211"/>
      <c r="H25" s="211"/>
      <c r="I25" s="211"/>
      <c r="J25" s="211"/>
      <c r="K25" s="212"/>
      <c r="L25" s="212"/>
      <c r="M25" s="212"/>
      <c r="N25" s="212"/>
      <c r="O25" s="174">
        <f t="shared" si="1"/>
        <v>0</v>
      </c>
      <c r="P25" s="1">
        <f t="shared" si="2"/>
        <v>0</v>
      </c>
      <c r="Q25" s="1">
        <f t="shared" si="3"/>
        <v>11</v>
      </c>
    </row>
    <row r="26" ht="15.75" customHeight="1">
      <c r="A26" s="165">
        <v>24.0</v>
      </c>
      <c r="B26" s="180"/>
      <c r="C26" s="211"/>
      <c r="D26" s="211"/>
      <c r="E26" s="211"/>
      <c r="F26" s="211"/>
      <c r="G26" s="211"/>
      <c r="H26" s="211"/>
      <c r="I26" s="211"/>
      <c r="J26" s="211"/>
      <c r="K26" s="212"/>
      <c r="L26" s="212"/>
      <c r="M26" s="212"/>
      <c r="N26" s="212"/>
      <c r="O26" s="174">
        <f t="shared" si="1"/>
        <v>0</v>
      </c>
      <c r="P26" s="1">
        <f t="shared" si="2"/>
        <v>0</v>
      </c>
      <c r="Q26" s="1">
        <f t="shared" si="3"/>
        <v>11</v>
      </c>
    </row>
    <row r="27" ht="15.75" customHeight="1">
      <c r="A27" s="175">
        <v>25.0</v>
      </c>
      <c r="B27" s="180"/>
      <c r="C27" s="211"/>
      <c r="D27" s="211"/>
      <c r="E27" s="211"/>
      <c r="F27" s="211"/>
      <c r="G27" s="211"/>
      <c r="H27" s="211"/>
      <c r="I27" s="211"/>
      <c r="J27" s="211"/>
      <c r="K27" s="212"/>
      <c r="L27" s="212"/>
      <c r="M27" s="212"/>
      <c r="N27" s="212"/>
      <c r="O27" s="174">
        <f t="shared" si="1"/>
        <v>0</v>
      </c>
      <c r="P27" s="1">
        <f t="shared" si="2"/>
        <v>0</v>
      </c>
      <c r="Q27" s="1">
        <f t="shared" si="3"/>
        <v>11</v>
      </c>
    </row>
    <row r="28" ht="15.75" customHeight="1">
      <c r="A28" s="165">
        <v>26.0</v>
      </c>
      <c r="B28" s="184"/>
      <c r="C28" s="211"/>
      <c r="D28" s="211"/>
      <c r="E28" s="211"/>
      <c r="F28" s="211"/>
      <c r="G28" s="211"/>
      <c r="H28" s="211"/>
      <c r="I28" s="211"/>
      <c r="J28" s="211"/>
      <c r="K28" s="212"/>
      <c r="L28" s="212"/>
      <c r="M28" s="212"/>
      <c r="N28" s="212"/>
      <c r="O28" s="174">
        <f t="shared" si="1"/>
        <v>0</v>
      </c>
      <c r="P28" s="1">
        <f t="shared" si="2"/>
        <v>0</v>
      </c>
      <c r="Q28" s="1">
        <f t="shared" si="3"/>
        <v>11</v>
      </c>
    </row>
    <row r="29" ht="15.75" customHeight="1">
      <c r="A29" s="175">
        <v>27.0</v>
      </c>
      <c r="B29" s="184"/>
      <c r="C29" s="211"/>
      <c r="D29" s="211"/>
      <c r="E29" s="211"/>
      <c r="F29" s="211"/>
      <c r="G29" s="211"/>
      <c r="H29" s="211"/>
      <c r="I29" s="211"/>
      <c r="J29" s="211"/>
      <c r="K29" s="212"/>
      <c r="L29" s="212"/>
      <c r="M29" s="212"/>
      <c r="N29" s="212"/>
      <c r="O29" s="174">
        <f t="shared" si="1"/>
        <v>0</v>
      </c>
      <c r="P29" s="1">
        <f t="shared" si="2"/>
        <v>0</v>
      </c>
      <c r="Q29" s="1">
        <f t="shared" si="3"/>
        <v>11</v>
      </c>
    </row>
    <row r="30" ht="15.75" customHeight="1">
      <c r="A30" s="175">
        <v>28.0</v>
      </c>
      <c r="B30" s="180"/>
      <c r="C30" s="211"/>
      <c r="D30" s="211"/>
      <c r="E30" s="211"/>
      <c r="F30" s="211"/>
      <c r="G30" s="211"/>
      <c r="H30" s="211"/>
      <c r="I30" s="211"/>
      <c r="J30" s="211"/>
      <c r="K30" s="212"/>
      <c r="L30" s="212"/>
      <c r="M30" s="212"/>
      <c r="N30" s="212"/>
      <c r="O30" s="174">
        <f t="shared" si="1"/>
        <v>0</v>
      </c>
      <c r="P30" s="1">
        <f t="shared" si="2"/>
        <v>0</v>
      </c>
      <c r="Q30" s="1">
        <f t="shared" si="3"/>
        <v>11</v>
      </c>
    </row>
    <row r="31" ht="15.75" customHeight="1">
      <c r="A31" s="165">
        <v>29.0</v>
      </c>
      <c r="B31" s="180"/>
      <c r="C31" s="211"/>
      <c r="D31" s="211"/>
      <c r="E31" s="211"/>
      <c r="F31" s="211"/>
      <c r="G31" s="211"/>
      <c r="H31" s="211"/>
      <c r="I31" s="213"/>
      <c r="J31" s="211"/>
      <c r="K31" s="212"/>
      <c r="L31" s="212"/>
      <c r="M31" s="212"/>
      <c r="N31" s="212"/>
      <c r="O31" s="174">
        <f t="shared" si="1"/>
        <v>0</v>
      </c>
      <c r="P31" s="1">
        <f t="shared" si="2"/>
        <v>0</v>
      </c>
      <c r="Q31" s="1">
        <f t="shared" si="3"/>
        <v>11</v>
      </c>
    </row>
    <row r="32" ht="15.75" customHeight="1">
      <c r="A32" s="175">
        <v>30.0</v>
      </c>
      <c r="B32" s="180"/>
      <c r="C32" s="211"/>
      <c r="D32" s="211"/>
      <c r="E32" s="211"/>
      <c r="F32" s="211"/>
      <c r="G32" s="211"/>
      <c r="H32" s="211"/>
      <c r="I32" s="213"/>
      <c r="J32" s="211"/>
      <c r="K32" s="212"/>
      <c r="L32" s="212"/>
      <c r="M32" s="212"/>
      <c r="N32" s="212"/>
      <c r="O32" s="174">
        <f t="shared" si="1"/>
        <v>0</v>
      </c>
      <c r="P32" s="1">
        <f t="shared" si="2"/>
        <v>0</v>
      </c>
      <c r="Q32" s="1">
        <f t="shared" si="3"/>
        <v>11</v>
      </c>
    </row>
    <row r="33" ht="15.75" customHeight="1">
      <c r="A33" s="175">
        <v>31.0</v>
      </c>
      <c r="B33" s="180"/>
      <c r="C33" s="211"/>
      <c r="D33" s="211"/>
      <c r="E33" s="211"/>
      <c r="F33" s="211"/>
      <c r="G33" s="211"/>
      <c r="H33" s="211"/>
      <c r="I33" s="213"/>
      <c r="J33" s="211"/>
      <c r="K33" s="212"/>
      <c r="L33" s="212"/>
      <c r="M33" s="212"/>
      <c r="N33" s="212"/>
      <c r="O33" s="214">
        <f t="shared" si="1"/>
        <v>0</v>
      </c>
      <c r="P33" s="1">
        <f t="shared" si="2"/>
        <v>0</v>
      </c>
      <c r="Q33" s="1">
        <f t="shared" si="3"/>
        <v>11</v>
      </c>
    </row>
    <row r="34" ht="15.75" customHeight="1">
      <c r="A34" s="165">
        <v>32.0</v>
      </c>
      <c r="B34" s="180"/>
      <c r="C34" s="211"/>
      <c r="D34" s="213"/>
      <c r="E34" s="213"/>
      <c r="F34" s="211"/>
      <c r="G34" s="211"/>
      <c r="H34" s="211"/>
      <c r="I34" s="213"/>
      <c r="J34" s="211"/>
      <c r="K34" s="212"/>
      <c r="L34" s="212"/>
      <c r="M34" s="212"/>
      <c r="N34" s="212"/>
      <c r="O34" s="174">
        <f t="shared" si="1"/>
        <v>0</v>
      </c>
      <c r="P34" s="1">
        <f t="shared" si="2"/>
        <v>0</v>
      </c>
      <c r="Q34" s="1">
        <f t="shared" si="3"/>
        <v>11</v>
      </c>
    </row>
    <row r="35" ht="15.75" customHeight="1">
      <c r="A35" s="175">
        <v>33.0</v>
      </c>
      <c r="B35" s="184"/>
      <c r="C35" s="211"/>
      <c r="D35" s="213"/>
      <c r="E35" s="213"/>
      <c r="F35" s="211"/>
      <c r="G35" s="211"/>
      <c r="H35" s="211"/>
      <c r="I35" s="213"/>
      <c r="J35" s="211"/>
      <c r="K35" s="212"/>
      <c r="L35" s="212"/>
      <c r="M35" s="212"/>
      <c r="N35" s="212"/>
      <c r="O35" s="174">
        <f t="shared" si="1"/>
        <v>0</v>
      </c>
      <c r="P35" s="1">
        <f t="shared" si="2"/>
        <v>0</v>
      </c>
      <c r="Q35" s="1">
        <f>RANK(P35,$P$3:$P$35)</f>
        <v>11</v>
      </c>
    </row>
    <row r="36" ht="15.75" customHeight="1">
      <c r="A36" s="175">
        <v>34.0</v>
      </c>
      <c r="B36" s="188"/>
      <c r="C36" s="213"/>
      <c r="D36" s="213"/>
      <c r="E36" s="213"/>
      <c r="F36" s="213"/>
      <c r="G36" s="213"/>
      <c r="H36" s="213"/>
      <c r="I36" s="213"/>
      <c r="J36" s="211"/>
      <c r="K36" s="215"/>
      <c r="L36" s="215"/>
      <c r="M36" s="215"/>
      <c r="N36" s="215"/>
      <c r="O36" s="174">
        <f t="shared" si="1"/>
        <v>0</v>
      </c>
      <c r="P36" s="1">
        <f t="shared" si="2"/>
        <v>0</v>
      </c>
      <c r="Q36" s="1">
        <f t="shared" ref="Q36:Q43" si="4">RANK(P36,$P$3:$P$43)</f>
        <v>11</v>
      </c>
    </row>
    <row r="37" ht="15.75" customHeight="1">
      <c r="A37" s="165">
        <v>35.0</v>
      </c>
      <c r="B37" s="184"/>
      <c r="C37" s="213"/>
      <c r="D37" s="213"/>
      <c r="E37" s="213"/>
      <c r="F37" s="213"/>
      <c r="G37" s="213"/>
      <c r="H37" s="213"/>
      <c r="I37" s="213"/>
      <c r="J37" s="211"/>
      <c r="K37" s="215"/>
      <c r="L37" s="215"/>
      <c r="M37" s="215"/>
      <c r="N37" s="215"/>
      <c r="O37" s="174">
        <f t="shared" si="1"/>
        <v>0</v>
      </c>
      <c r="P37" s="1">
        <f t="shared" si="2"/>
        <v>0</v>
      </c>
      <c r="Q37" s="1">
        <f t="shared" si="4"/>
        <v>11</v>
      </c>
    </row>
    <row r="38" ht="15.75" customHeight="1">
      <c r="A38" s="175">
        <v>36.0</v>
      </c>
      <c r="B38" s="184"/>
      <c r="C38" s="213"/>
      <c r="D38" s="213"/>
      <c r="E38" s="213"/>
      <c r="F38" s="213"/>
      <c r="G38" s="213"/>
      <c r="H38" s="213"/>
      <c r="I38" s="213"/>
      <c r="J38" s="211"/>
      <c r="K38" s="215"/>
      <c r="L38" s="215"/>
      <c r="M38" s="215"/>
      <c r="N38" s="215"/>
      <c r="O38" s="174">
        <f t="shared" si="1"/>
        <v>0</v>
      </c>
      <c r="P38" s="1">
        <f t="shared" si="2"/>
        <v>0</v>
      </c>
      <c r="Q38" s="1">
        <f t="shared" si="4"/>
        <v>11</v>
      </c>
    </row>
    <row r="39" ht="15.75" customHeight="1">
      <c r="A39" s="165">
        <v>37.0</v>
      </c>
      <c r="B39" s="184"/>
      <c r="C39" s="213"/>
      <c r="D39" s="213"/>
      <c r="E39" s="213"/>
      <c r="F39" s="213"/>
      <c r="G39" s="213"/>
      <c r="H39" s="213"/>
      <c r="I39" s="213"/>
      <c r="J39" s="211"/>
      <c r="K39" s="215"/>
      <c r="L39" s="215"/>
      <c r="M39" s="215"/>
      <c r="N39" s="215"/>
      <c r="O39" s="174">
        <f t="shared" si="1"/>
        <v>0</v>
      </c>
      <c r="P39" s="1">
        <f t="shared" si="2"/>
        <v>0</v>
      </c>
      <c r="Q39" s="1">
        <f t="shared" si="4"/>
        <v>11</v>
      </c>
    </row>
    <row r="40" ht="15.75" customHeight="1">
      <c r="A40" s="175">
        <v>38.0</v>
      </c>
      <c r="B40" s="184"/>
      <c r="C40" s="213"/>
      <c r="D40" s="213"/>
      <c r="E40" s="213"/>
      <c r="F40" s="213"/>
      <c r="G40" s="213"/>
      <c r="H40" s="213"/>
      <c r="I40" s="213"/>
      <c r="J40" s="211"/>
      <c r="K40" s="215"/>
      <c r="L40" s="215"/>
      <c r="M40" s="215"/>
      <c r="N40" s="215"/>
      <c r="O40" s="174">
        <f t="shared" si="1"/>
        <v>0</v>
      </c>
      <c r="P40" s="1">
        <f t="shared" si="2"/>
        <v>0</v>
      </c>
      <c r="Q40" s="1">
        <f t="shared" si="4"/>
        <v>11</v>
      </c>
    </row>
    <row r="41" ht="15.75" customHeight="1">
      <c r="A41" s="175">
        <v>39.0</v>
      </c>
      <c r="B41" s="184"/>
      <c r="C41" s="213"/>
      <c r="D41" s="213"/>
      <c r="E41" s="213"/>
      <c r="F41" s="213"/>
      <c r="G41" s="213"/>
      <c r="H41" s="213"/>
      <c r="I41" s="213"/>
      <c r="J41" s="211"/>
      <c r="K41" s="215"/>
      <c r="L41" s="215"/>
      <c r="M41" s="215"/>
      <c r="N41" s="215"/>
      <c r="O41" s="174">
        <f t="shared" si="1"/>
        <v>0</v>
      </c>
      <c r="P41" s="1">
        <f t="shared" si="2"/>
        <v>0</v>
      </c>
      <c r="Q41" s="1">
        <f t="shared" si="4"/>
        <v>11</v>
      </c>
    </row>
    <row r="42" ht="15.75" customHeight="1">
      <c r="A42" s="165">
        <v>40.0</v>
      </c>
      <c r="B42" s="193"/>
      <c r="C42" s="213"/>
      <c r="D42" s="213"/>
      <c r="E42" s="213"/>
      <c r="F42" s="213"/>
      <c r="G42" s="213"/>
      <c r="H42" s="213"/>
      <c r="I42" s="213"/>
      <c r="J42" s="211"/>
      <c r="K42" s="215"/>
      <c r="L42" s="215"/>
      <c r="M42" s="215"/>
      <c r="N42" s="215"/>
      <c r="O42" s="174">
        <f t="shared" si="1"/>
        <v>0</v>
      </c>
      <c r="P42" s="1">
        <f t="shared" si="2"/>
        <v>0</v>
      </c>
      <c r="Q42" s="1">
        <f t="shared" si="4"/>
        <v>11</v>
      </c>
    </row>
    <row r="43" ht="15.75" customHeight="1">
      <c r="A43" s="165">
        <v>41.0</v>
      </c>
      <c r="B43" s="193"/>
      <c r="C43" s="213"/>
      <c r="D43" s="213"/>
      <c r="E43" s="213"/>
      <c r="F43" s="213"/>
      <c r="G43" s="213"/>
      <c r="H43" s="213"/>
      <c r="I43" s="213"/>
      <c r="J43" s="211"/>
      <c r="K43" s="215"/>
      <c r="L43" s="215"/>
      <c r="M43" s="215"/>
      <c r="N43" s="215"/>
      <c r="O43" s="174">
        <f t="shared" si="1"/>
        <v>0</v>
      </c>
      <c r="P43" s="1">
        <f t="shared" si="2"/>
        <v>0</v>
      </c>
      <c r="Q43" s="1">
        <f t="shared" si="4"/>
        <v>11</v>
      </c>
    </row>
    <row r="44" ht="15.75" customHeight="1">
      <c r="A44" s="19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0"/>
    </row>
    <row r="45" ht="15.75" customHeight="1">
      <c r="A45" s="19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0"/>
    </row>
    <row r="46" ht="15.75" customHeight="1">
      <c r="A46" s="19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0"/>
    </row>
    <row r="47" ht="15.75" customHeight="1">
      <c r="A47" s="194"/>
      <c r="C47" s="5" t="s">
        <v>151</v>
      </c>
      <c r="D47" s="5"/>
      <c r="E47" s="5" t="s">
        <v>151</v>
      </c>
      <c r="F47" s="5"/>
      <c r="G47" s="5"/>
      <c r="H47" s="5" t="s">
        <v>151</v>
      </c>
      <c r="I47" s="5"/>
      <c r="J47" s="5"/>
      <c r="K47" s="5"/>
      <c r="L47" s="5"/>
      <c r="M47" s="5"/>
      <c r="N47" s="5"/>
      <c r="O47" s="10"/>
    </row>
    <row r="48" ht="15.75" customHeight="1">
      <c r="A48" s="194"/>
      <c r="C48" s="5" t="s">
        <v>151</v>
      </c>
      <c r="D48" s="5"/>
      <c r="E48" s="5" t="s">
        <v>151</v>
      </c>
      <c r="F48" s="5"/>
      <c r="G48" s="5"/>
      <c r="H48" s="5" t="s">
        <v>151</v>
      </c>
      <c r="I48" s="5"/>
      <c r="J48" s="5"/>
      <c r="K48" s="5"/>
      <c r="L48" s="5"/>
      <c r="M48" s="5"/>
      <c r="N48" s="5"/>
      <c r="O48" s="10"/>
    </row>
    <row r="49" ht="15.75" customHeight="1">
      <c r="A49" s="194"/>
      <c r="C49" s="5" t="s">
        <v>151</v>
      </c>
      <c r="D49" s="5"/>
      <c r="E49" s="5" t="s">
        <v>151</v>
      </c>
      <c r="F49" s="5"/>
      <c r="G49" s="5"/>
      <c r="H49" s="5" t="s">
        <v>151</v>
      </c>
      <c r="I49" s="5"/>
      <c r="J49" s="5"/>
      <c r="K49" s="5"/>
      <c r="L49" s="5"/>
      <c r="M49" s="5"/>
      <c r="N49" s="5"/>
      <c r="O49" s="10"/>
    </row>
    <row r="50" ht="15.75" customHeight="1">
      <c r="A50" s="194"/>
      <c r="C50" s="1" t="s">
        <v>151</v>
      </c>
      <c r="E50" s="1" t="s">
        <v>151</v>
      </c>
      <c r="H50" s="1" t="s">
        <v>151</v>
      </c>
      <c r="O50" s="10"/>
    </row>
    <row r="51" ht="15.75" customHeight="1">
      <c r="A51" s="194"/>
      <c r="C51" s="1" t="s">
        <v>151</v>
      </c>
      <c r="E51" s="1" t="s">
        <v>151</v>
      </c>
      <c r="H51" s="1" t="s">
        <v>151</v>
      </c>
      <c r="O51" s="10"/>
    </row>
    <row r="52" ht="15.75" customHeight="1">
      <c r="A52" s="194"/>
      <c r="C52" s="1" t="s">
        <v>151</v>
      </c>
      <c r="E52" s="1" t="s">
        <v>151</v>
      </c>
      <c r="H52" s="1" t="s">
        <v>151</v>
      </c>
      <c r="O52" s="10"/>
    </row>
    <row r="53" ht="15.75" customHeight="1">
      <c r="A53" s="194"/>
      <c r="C53" s="1" t="s">
        <v>151</v>
      </c>
      <c r="E53" s="1" t="s">
        <v>151</v>
      </c>
      <c r="H53" s="1" t="s">
        <v>151</v>
      </c>
      <c r="O53" s="10"/>
    </row>
    <row r="54" ht="15.75" customHeight="1">
      <c r="A54" s="195"/>
      <c r="B54" s="196"/>
      <c r="C54" s="196" t="s">
        <v>151</v>
      </c>
      <c r="D54" s="196"/>
      <c r="E54" s="196" t="s">
        <v>151</v>
      </c>
      <c r="F54" s="196"/>
      <c r="G54" s="196"/>
      <c r="H54" s="196"/>
      <c r="I54" s="196"/>
      <c r="J54" s="196"/>
      <c r="K54" s="196"/>
      <c r="L54" s="196"/>
      <c r="M54" s="196"/>
      <c r="N54" s="196"/>
      <c r="O54" s="197"/>
    </row>
    <row r="55" ht="15.75" customHeight="1">
      <c r="C55" s="1" t="s">
        <v>151</v>
      </c>
      <c r="E55" s="1" t="s">
        <v>151</v>
      </c>
    </row>
    <row r="56" ht="15.75" customHeight="1">
      <c r="C56" s="1" t="s">
        <v>151</v>
      </c>
      <c r="E56" s="1" t="s">
        <v>151</v>
      </c>
    </row>
    <row r="57" ht="15.75" customHeight="1">
      <c r="C57" s="1" t="s">
        <v>151</v>
      </c>
      <c r="E57" s="1" t="s">
        <v>151</v>
      </c>
    </row>
    <row r="58" ht="15.75" customHeight="1">
      <c r="C58" s="1" t="s">
        <v>151</v>
      </c>
      <c r="E58" s="1" t="s">
        <v>151</v>
      </c>
    </row>
    <row r="59" ht="15.75" customHeight="1">
      <c r="C59" s="1" t="s">
        <v>151</v>
      </c>
      <c r="E59" s="1" t="s">
        <v>151</v>
      </c>
    </row>
    <row r="60" ht="15.75" customHeight="1">
      <c r="C60" s="1" t="s">
        <v>151</v>
      </c>
      <c r="E60" s="1" t="s">
        <v>151</v>
      </c>
    </row>
    <row r="61" ht="15.75" customHeight="1">
      <c r="C61" s="1" t="s">
        <v>151</v>
      </c>
      <c r="E61" s="1" t="s">
        <v>151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O2"/>
    <mergeCell ref="Q1:Q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15" width="8.71"/>
    <col customWidth="1" min="16" max="16" width="11.43"/>
    <col customWidth="1" min="17" max="17" width="8.71"/>
    <col customWidth="1" min="18" max="18" width="17.29"/>
    <col customWidth="1" min="19" max="26" width="8.71"/>
  </cols>
  <sheetData>
    <row r="1" ht="42.75" customHeight="1">
      <c r="A1" s="151"/>
      <c r="B1" s="152" t="s">
        <v>139</v>
      </c>
      <c r="C1" s="153" t="s">
        <v>152</v>
      </c>
      <c r="D1" s="153" t="s">
        <v>141</v>
      </c>
      <c r="E1" s="154" t="s">
        <v>142</v>
      </c>
      <c r="F1" s="154" t="s">
        <v>143</v>
      </c>
      <c r="G1" s="154" t="s">
        <v>144</v>
      </c>
      <c r="H1" s="153" t="s">
        <v>145</v>
      </c>
      <c r="I1" s="154" t="s">
        <v>146</v>
      </c>
      <c r="J1" s="155" t="s">
        <v>107</v>
      </c>
      <c r="K1" s="156"/>
      <c r="L1" s="156"/>
      <c r="M1" s="156"/>
      <c r="N1" s="156"/>
      <c r="O1" s="157" t="s">
        <v>147</v>
      </c>
      <c r="Q1" s="158" t="s">
        <v>148</v>
      </c>
      <c r="R1" s="159"/>
    </row>
    <row r="2">
      <c r="A2" s="151"/>
      <c r="B2" s="160"/>
      <c r="C2" s="161">
        <v>1.0</v>
      </c>
      <c r="D2" s="161">
        <v>2.0</v>
      </c>
      <c r="E2" s="161">
        <v>3.0</v>
      </c>
      <c r="F2" s="161">
        <v>4.0</v>
      </c>
      <c r="G2" s="161">
        <v>5.0</v>
      </c>
      <c r="H2" s="161">
        <v>6.0</v>
      </c>
      <c r="I2" s="161">
        <v>7.0</v>
      </c>
      <c r="J2" s="161">
        <v>8.0</v>
      </c>
      <c r="K2" s="162" t="s">
        <v>153</v>
      </c>
      <c r="L2" s="162" t="s">
        <v>154</v>
      </c>
      <c r="M2" s="162" t="s">
        <v>155</v>
      </c>
      <c r="N2" s="162" t="s">
        <v>156</v>
      </c>
      <c r="O2" s="163"/>
      <c r="Q2" s="164"/>
      <c r="R2" s="159"/>
    </row>
    <row r="3">
      <c r="A3" s="165">
        <v>1.0</v>
      </c>
      <c r="B3" s="166" t="s">
        <v>9</v>
      </c>
      <c r="C3" s="168">
        <v>87.0</v>
      </c>
      <c r="D3" s="168">
        <v>81.0</v>
      </c>
      <c r="E3" s="168">
        <v>80.0</v>
      </c>
      <c r="F3" s="168">
        <v>80.0</v>
      </c>
      <c r="G3" s="168">
        <v>81.0</v>
      </c>
      <c r="H3" s="168">
        <v>86.0</v>
      </c>
      <c r="I3" s="198">
        <v>89.0</v>
      </c>
      <c r="J3" s="199">
        <v>85.0</v>
      </c>
      <c r="K3" s="200">
        <v>85.0</v>
      </c>
      <c r="L3" s="201">
        <v>84.0</v>
      </c>
      <c r="M3" s="201"/>
      <c r="N3" s="202"/>
      <c r="O3" s="203">
        <f t="shared" ref="O3:O43" si="1">ROUND(P3,0)</f>
        <v>84</v>
      </c>
      <c r="P3" s="1">
        <f t="shared" ref="P3:P43" si="2">SUM(C3:J3)/8</f>
        <v>83.625</v>
      </c>
      <c r="Q3" s="1">
        <f t="shared" ref="Q3:Q34" si="3">RANK(P3,$P$3:$P$34)</f>
        <v>3</v>
      </c>
      <c r="R3" s="159"/>
    </row>
    <row r="4">
      <c r="A4" s="175">
        <v>2.0</v>
      </c>
      <c r="B4" s="176" t="s">
        <v>12</v>
      </c>
      <c r="C4" s="168">
        <v>85.0</v>
      </c>
      <c r="D4" s="168">
        <v>81.0</v>
      </c>
      <c r="E4" s="168">
        <v>80.0</v>
      </c>
      <c r="F4" s="168">
        <v>80.0</v>
      </c>
      <c r="G4" s="168">
        <v>81.0</v>
      </c>
      <c r="H4" s="168">
        <v>83.0</v>
      </c>
      <c r="I4" s="198">
        <v>87.0</v>
      </c>
      <c r="J4" s="199">
        <v>85.0</v>
      </c>
      <c r="K4" s="200">
        <v>84.0</v>
      </c>
      <c r="L4" s="201">
        <v>85.0</v>
      </c>
      <c r="M4" s="201"/>
      <c r="N4" s="202"/>
      <c r="O4" s="203">
        <f t="shared" si="1"/>
        <v>83</v>
      </c>
      <c r="P4" s="1">
        <f t="shared" si="2"/>
        <v>82.75</v>
      </c>
      <c r="Q4" s="1">
        <f t="shared" si="3"/>
        <v>5</v>
      </c>
      <c r="R4" s="159"/>
    </row>
    <row r="5">
      <c r="A5" s="175">
        <v>3.0</v>
      </c>
      <c r="B5" s="176" t="s">
        <v>13</v>
      </c>
      <c r="C5" s="168">
        <v>84.0</v>
      </c>
      <c r="D5" s="168">
        <v>84.0</v>
      </c>
      <c r="E5" s="168">
        <v>83.0</v>
      </c>
      <c r="F5" s="168">
        <v>82.0</v>
      </c>
      <c r="G5" s="168">
        <v>85.0</v>
      </c>
      <c r="H5" s="168">
        <v>82.0</v>
      </c>
      <c r="I5" s="198">
        <v>82.0</v>
      </c>
      <c r="J5" s="199">
        <v>81.0</v>
      </c>
      <c r="K5" s="200">
        <v>80.0</v>
      </c>
      <c r="L5" s="201">
        <v>81.0</v>
      </c>
      <c r="M5" s="201"/>
      <c r="N5" s="202"/>
      <c r="O5" s="203">
        <f t="shared" si="1"/>
        <v>83</v>
      </c>
      <c r="P5" s="1">
        <f t="shared" si="2"/>
        <v>82.875</v>
      </c>
      <c r="Q5" s="1">
        <f t="shared" si="3"/>
        <v>4</v>
      </c>
      <c r="R5" s="159"/>
    </row>
    <row r="6">
      <c r="A6" s="165">
        <v>4.0</v>
      </c>
      <c r="B6" s="176" t="s">
        <v>14</v>
      </c>
      <c r="C6" s="168">
        <v>85.0</v>
      </c>
      <c r="D6" s="168">
        <v>80.0</v>
      </c>
      <c r="E6" s="168">
        <v>78.0</v>
      </c>
      <c r="F6" s="168">
        <v>77.0</v>
      </c>
      <c r="G6" s="168">
        <v>84.0</v>
      </c>
      <c r="H6" s="168">
        <v>81.0</v>
      </c>
      <c r="I6" s="198">
        <v>86.0</v>
      </c>
      <c r="J6" s="199">
        <v>84.0</v>
      </c>
      <c r="K6" s="200">
        <v>83.0</v>
      </c>
      <c r="L6" s="201">
        <v>84.0</v>
      </c>
      <c r="M6" s="201"/>
      <c r="N6" s="202"/>
      <c r="O6" s="203">
        <f t="shared" si="1"/>
        <v>82</v>
      </c>
      <c r="P6" s="1">
        <f t="shared" si="2"/>
        <v>81.875</v>
      </c>
      <c r="Q6" s="1">
        <f t="shared" si="3"/>
        <v>7</v>
      </c>
      <c r="R6" s="159"/>
    </row>
    <row r="7">
      <c r="A7" s="175">
        <v>5.0</v>
      </c>
      <c r="B7" s="176" t="s">
        <v>15</v>
      </c>
      <c r="C7" s="168">
        <v>87.0</v>
      </c>
      <c r="D7" s="168">
        <v>83.0</v>
      </c>
      <c r="E7" s="168">
        <v>82.0</v>
      </c>
      <c r="F7" s="168">
        <v>80.0</v>
      </c>
      <c r="G7" s="168">
        <v>83.0</v>
      </c>
      <c r="H7" s="168">
        <v>83.0</v>
      </c>
      <c r="I7" s="198">
        <v>86.0</v>
      </c>
      <c r="J7" s="199">
        <v>86.0</v>
      </c>
      <c r="K7" s="200">
        <v>86.0</v>
      </c>
      <c r="L7" s="201">
        <v>86.0</v>
      </c>
      <c r="M7" s="201"/>
      <c r="N7" s="202"/>
      <c r="O7" s="203">
        <f t="shared" si="1"/>
        <v>84</v>
      </c>
      <c r="P7" s="1">
        <f t="shared" si="2"/>
        <v>83.75</v>
      </c>
      <c r="Q7" s="1">
        <f t="shared" si="3"/>
        <v>2</v>
      </c>
      <c r="R7" s="159"/>
    </row>
    <row r="8">
      <c r="A8" s="175">
        <v>6.0</v>
      </c>
      <c r="B8" s="176" t="s">
        <v>16</v>
      </c>
      <c r="C8" s="168">
        <v>86.0</v>
      </c>
      <c r="D8" s="168">
        <v>78.0</v>
      </c>
      <c r="E8" s="168">
        <v>79.0</v>
      </c>
      <c r="F8" s="168">
        <v>81.0</v>
      </c>
      <c r="G8" s="168">
        <v>80.0</v>
      </c>
      <c r="H8" s="168">
        <v>85.0</v>
      </c>
      <c r="I8" s="198">
        <v>85.0</v>
      </c>
      <c r="J8" s="199">
        <v>85.0</v>
      </c>
      <c r="K8" s="200">
        <v>85.0</v>
      </c>
      <c r="L8" s="201">
        <v>85.0</v>
      </c>
      <c r="M8" s="201"/>
      <c r="N8" s="202"/>
      <c r="O8" s="203">
        <f t="shared" si="1"/>
        <v>82</v>
      </c>
      <c r="P8" s="1">
        <f t="shared" si="2"/>
        <v>82.375</v>
      </c>
      <c r="Q8" s="1">
        <f t="shared" si="3"/>
        <v>6</v>
      </c>
      <c r="R8" s="159"/>
    </row>
    <row r="9">
      <c r="A9" s="165">
        <v>7.0</v>
      </c>
      <c r="B9" s="176" t="s">
        <v>17</v>
      </c>
      <c r="C9" s="168">
        <v>91.0</v>
      </c>
      <c r="D9" s="168">
        <v>87.0</v>
      </c>
      <c r="E9" s="168">
        <v>82.0</v>
      </c>
      <c r="F9" s="168">
        <v>83.0</v>
      </c>
      <c r="G9" s="168">
        <v>86.0</v>
      </c>
      <c r="H9" s="168">
        <v>90.0</v>
      </c>
      <c r="I9" s="198">
        <v>90.0</v>
      </c>
      <c r="J9" s="199">
        <v>89.0</v>
      </c>
      <c r="K9" s="200">
        <v>89.0</v>
      </c>
      <c r="L9" s="201">
        <v>89.0</v>
      </c>
      <c r="M9" s="201"/>
      <c r="N9" s="202"/>
      <c r="O9" s="203">
        <f t="shared" si="1"/>
        <v>87</v>
      </c>
      <c r="P9" s="1">
        <f t="shared" si="2"/>
        <v>87.25</v>
      </c>
      <c r="Q9" s="1">
        <f t="shared" si="3"/>
        <v>1</v>
      </c>
      <c r="R9" s="159"/>
    </row>
    <row r="10">
      <c r="A10" s="216">
        <v>8.0</v>
      </c>
      <c r="B10" s="176" t="s">
        <v>18</v>
      </c>
      <c r="C10" s="168"/>
      <c r="D10" s="168"/>
      <c r="E10" s="168"/>
      <c r="F10" s="168"/>
      <c r="G10" s="168"/>
      <c r="H10" s="168"/>
      <c r="I10" s="198"/>
      <c r="J10" s="199" t="s">
        <v>151</v>
      </c>
      <c r="K10" s="217"/>
      <c r="L10" s="218" t="s">
        <v>151</v>
      </c>
      <c r="M10" s="218"/>
      <c r="N10" s="219"/>
      <c r="O10" s="220">
        <f t="shared" si="1"/>
        <v>0</v>
      </c>
      <c r="P10" s="221">
        <f t="shared" si="2"/>
        <v>0</v>
      </c>
      <c r="Q10" s="221">
        <f t="shared" si="3"/>
        <v>10</v>
      </c>
      <c r="R10" s="222"/>
      <c r="S10" s="221"/>
      <c r="T10" s="221"/>
      <c r="U10" s="221"/>
      <c r="V10" s="221"/>
      <c r="W10" s="221"/>
      <c r="X10" s="221"/>
      <c r="Y10" s="221"/>
      <c r="Z10" s="221"/>
    </row>
    <row r="11">
      <c r="A11" s="223">
        <v>9.0</v>
      </c>
      <c r="B11" s="176" t="s">
        <v>19</v>
      </c>
      <c r="C11" s="168">
        <v>83.0</v>
      </c>
      <c r="D11" s="168">
        <v>80.0</v>
      </c>
      <c r="E11" s="168">
        <v>80.0</v>
      </c>
      <c r="F11" s="168">
        <v>81.0</v>
      </c>
      <c r="G11" s="168">
        <v>82.0</v>
      </c>
      <c r="H11" s="168">
        <v>78.0</v>
      </c>
      <c r="I11" s="198">
        <v>81.0</v>
      </c>
      <c r="J11" s="199">
        <v>79.0</v>
      </c>
      <c r="K11" s="200">
        <v>78.0</v>
      </c>
      <c r="L11" s="201">
        <v>80.0</v>
      </c>
      <c r="M11" s="201"/>
      <c r="N11" s="202"/>
      <c r="O11" s="203">
        <f t="shared" si="1"/>
        <v>81</v>
      </c>
      <c r="P11" s="1">
        <f t="shared" si="2"/>
        <v>80.5</v>
      </c>
      <c r="Q11" s="1">
        <f t="shared" si="3"/>
        <v>8</v>
      </c>
      <c r="R11" s="159"/>
    </row>
    <row r="12">
      <c r="A12" s="224">
        <v>10.0</v>
      </c>
      <c r="B12" s="176" t="s">
        <v>20</v>
      </c>
      <c r="C12" s="168">
        <v>83.0</v>
      </c>
      <c r="D12" s="168">
        <v>78.0</v>
      </c>
      <c r="E12" s="168">
        <v>78.0</v>
      </c>
      <c r="F12" s="168">
        <v>80.0</v>
      </c>
      <c r="G12" s="168">
        <v>81.0</v>
      </c>
      <c r="H12" s="168">
        <v>79.0</v>
      </c>
      <c r="I12" s="198">
        <v>82.0</v>
      </c>
      <c r="J12" s="199">
        <v>79.0</v>
      </c>
      <c r="K12" s="200">
        <v>78.0</v>
      </c>
      <c r="L12" s="201">
        <v>79.0</v>
      </c>
      <c r="M12" s="201"/>
      <c r="N12" s="202"/>
      <c r="O12" s="203">
        <f t="shared" si="1"/>
        <v>80</v>
      </c>
      <c r="P12" s="1">
        <f t="shared" si="2"/>
        <v>80</v>
      </c>
      <c r="Q12" s="1">
        <f t="shared" si="3"/>
        <v>9</v>
      </c>
      <c r="R12" s="159"/>
    </row>
    <row r="13">
      <c r="A13" s="223">
        <v>11.0</v>
      </c>
      <c r="B13" s="176"/>
      <c r="C13" s="168"/>
      <c r="D13" s="168"/>
      <c r="E13" s="168"/>
      <c r="F13" s="168"/>
      <c r="G13" s="168"/>
      <c r="H13" s="168"/>
      <c r="I13" s="198"/>
      <c r="J13" s="199"/>
      <c r="K13" s="200"/>
      <c r="L13" s="201"/>
      <c r="M13" s="201"/>
      <c r="N13" s="202"/>
      <c r="O13" s="203">
        <f t="shared" si="1"/>
        <v>0</v>
      </c>
      <c r="P13" s="1">
        <f t="shared" si="2"/>
        <v>0</v>
      </c>
      <c r="Q13" s="1">
        <f t="shared" si="3"/>
        <v>10</v>
      </c>
      <c r="R13" s="159"/>
    </row>
    <row r="14">
      <c r="A14" s="223">
        <v>12.0</v>
      </c>
      <c r="B14" s="176"/>
      <c r="C14" s="168"/>
      <c r="D14" s="168"/>
      <c r="E14" s="168"/>
      <c r="F14" s="168"/>
      <c r="G14" s="168"/>
      <c r="H14" s="168"/>
      <c r="I14" s="198"/>
      <c r="J14" s="199"/>
      <c r="K14" s="200"/>
      <c r="L14" s="201"/>
      <c r="M14" s="201"/>
      <c r="N14" s="202"/>
      <c r="O14" s="203">
        <f t="shared" si="1"/>
        <v>0</v>
      </c>
      <c r="P14" s="1">
        <f t="shared" si="2"/>
        <v>0</v>
      </c>
      <c r="Q14" s="1">
        <f t="shared" si="3"/>
        <v>10</v>
      </c>
      <c r="R14" s="159"/>
    </row>
    <row r="15">
      <c r="A15" s="224">
        <v>13.0</v>
      </c>
      <c r="B15" s="176"/>
      <c r="C15" s="168"/>
      <c r="D15" s="168"/>
      <c r="E15" s="168"/>
      <c r="F15" s="168"/>
      <c r="G15" s="168"/>
      <c r="H15" s="168"/>
      <c r="I15" s="198"/>
      <c r="J15" s="199"/>
      <c r="K15" s="200"/>
      <c r="L15" s="201"/>
      <c r="M15" s="201"/>
      <c r="N15" s="202"/>
      <c r="O15" s="203">
        <f t="shared" si="1"/>
        <v>0</v>
      </c>
      <c r="P15" s="1">
        <f t="shared" si="2"/>
        <v>0</v>
      </c>
      <c r="Q15" s="1">
        <f t="shared" si="3"/>
        <v>10</v>
      </c>
      <c r="R15" s="159"/>
    </row>
    <row r="16">
      <c r="A16" s="223">
        <v>14.0</v>
      </c>
      <c r="B16" s="176"/>
      <c r="C16" s="168"/>
      <c r="D16" s="168"/>
      <c r="E16" s="168"/>
      <c r="F16" s="168"/>
      <c r="G16" s="168"/>
      <c r="H16" s="168"/>
      <c r="I16" s="198"/>
      <c r="J16" s="199"/>
      <c r="K16" s="200"/>
      <c r="L16" s="201"/>
      <c r="M16" s="201"/>
      <c r="N16" s="202"/>
      <c r="O16" s="203">
        <f t="shared" si="1"/>
        <v>0</v>
      </c>
      <c r="P16" s="1">
        <f t="shared" si="2"/>
        <v>0</v>
      </c>
      <c r="Q16" s="1">
        <f t="shared" si="3"/>
        <v>10</v>
      </c>
      <c r="R16" s="159"/>
    </row>
    <row r="17">
      <c r="A17" s="224">
        <v>15.0</v>
      </c>
      <c r="B17" s="178"/>
      <c r="C17" s="168"/>
      <c r="D17" s="168"/>
      <c r="E17" s="168"/>
      <c r="F17" s="168"/>
      <c r="G17" s="168"/>
      <c r="H17" s="168"/>
      <c r="I17" s="198"/>
      <c r="J17" s="199"/>
      <c r="K17" s="200"/>
      <c r="L17" s="201"/>
      <c r="M17" s="201"/>
      <c r="N17" s="202"/>
      <c r="O17" s="203">
        <f t="shared" si="1"/>
        <v>0</v>
      </c>
      <c r="P17" s="1">
        <f t="shared" si="2"/>
        <v>0</v>
      </c>
      <c r="Q17" s="1">
        <f t="shared" si="3"/>
        <v>10</v>
      </c>
      <c r="R17" s="159"/>
    </row>
    <row r="18">
      <c r="A18" s="223">
        <v>16.0</v>
      </c>
      <c r="B18" s="176"/>
      <c r="C18" s="168"/>
      <c r="D18" s="168"/>
      <c r="E18" s="168"/>
      <c r="F18" s="168"/>
      <c r="G18" s="168"/>
      <c r="H18" s="168"/>
      <c r="I18" s="198"/>
      <c r="J18" s="199"/>
      <c r="K18" s="200"/>
      <c r="L18" s="201"/>
      <c r="M18" s="201"/>
      <c r="N18" s="202"/>
      <c r="O18" s="203">
        <f t="shared" si="1"/>
        <v>0</v>
      </c>
      <c r="P18" s="1">
        <f t="shared" si="2"/>
        <v>0</v>
      </c>
      <c r="Q18" s="1">
        <f t="shared" si="3"/>
        <v>10</v>
      </c>
      <c r="R18" s="159"/>
    </row>
    <row r="19">
      <c r="A19" s="223">
        <v>17.0</v>
      </c>
      <c r="B19" s="176"/>
      <c r="C19" s="168"/>
      <c r="D19" s="168"/>
      <c r="E19" s="168"/>
      <c r="F19" s="168"/>
      <c r="G19" s="168"/>
      <c r="H19" s="168"/>
      <c r="I19" s="198"/>
      <c r="J19" s="199"/>
      <c r="K19" s="200"/>
      <c r="L19" s="201"/>
      <c r="M19" s="201"/>
      <c r="N19" s="202"/>
      <c r="O19" s="204">
        <f t="shared" si="1"/>
        <v>0</v>
      </c>
      <c r="P19" s="1">
        <f t="shared" si="2"/>
        <v>0</v>
      </c>
      <c r="Q19" s="1">
        <f t="shared" si="3"/>
        <v>10</v>
      </c>
      <c r="R19" s="159"/>
    </row>
    <row r="20">
      <c r="A20" s="224">
        <v>18.0</v>
      </c>
      <c r="B20" s="176"/>
      <c r="C20" s="168"/>
      <c r="D20" s="168"/>
      <c r="E20" s="168"/>
      <c r="F20" s="168"/>
      <c r="G20" s="168"/>
      <c r="H20" s="168"/>
      <c r="I20" s="198"/>
      <c r="J20" s="199"/>
      <c r="K20" s="200"/>
      <c r="L20" s="201"/>
      <c r="M20" s="201"/>
      <c r="N20" s="202"/>
      <c r="O20" s="203">
        <f t="shared" si="1"/>
        <v>0</v>
      </c>
      <c r="P20" s="1">
        <f t="shared" si="2"/>
        <v>0</v>
      </c>
      <c r="Q20" s="1">
        <f t="shared" si="3"/>
        <v>10</v>
      </c>
      <c r="R20" s="159"/>
    </row>
    <row r="21" ht="15.75" customHeight="1">
      <c r="A21" s="223">
        <v>19.0</v>
      </c>
      <c r="B21" s="176"/>
      <c r="C21" s="168"/>
      <c r="D21" s="168"/>
      <c r="E21" s="168"/>
      <c r="F21" s="168"/>
      <c r="G21" s="168"/>
      <c r="H21" s="168"/>
      <c r="I21" s="198"/>
      <c r="J21" s="199"/>
      <c r="K21" s="200"/>
      <c r="L21" s="201"/>
      <c r="M21" s="201"/>
      <c r="N21" s="202"/>
      <c r="O21" s="203">
        <f t="shared" si="1"/>
        <v>0</v>
      </c>
      <c r="P21" s="1">
        <f t="shared" si="2"/>
        <v>0</v>
      </c>
      <c r="Q21" s="1">
        <f t="shared" si="3"/>
        <v>10</v>
      </c>
      <c r="R21" s="159"/>
    </row>
    <row r="22" ht="15.75" customHeight="1">
      <c r="A22" s="223">
        <v>20.0</v>
      </c>
      <c r="B22" s="176"/>
      <c r="C22" s="168"/>
      <c r="D22" s="168"/>
      <c r="E22" s="168"/>
      <c r="F22" s="168"/>
      <c r="G22" s="168"/>
      <c r="H22" s="168"/>
      <c r="I22" s="198"/>
      <c r="J22" s="199"/>
      <c r="K22" s="200"/>
      <c r="L22" s="201"/>
      <c r="M22" s="201"/>
      <c r="N22" s="202"/>
      <c r="O22" s="203">
        <f t="shared" si="1"/>
        <v>0</v>
      </c>
      <c r="P22" s="1">
        <f t="shared" si="2"/>
        <v>0</v>
      </c>
      <c r="Q22" s="1">
        <f t="shared" si="3"/>
        <v>10</v>
      </c>
      <c r="R22" s="159"/>
    </row>
    <row r="23" ht="15.75" customHeight="1">
      <c r="A23" s="224">
        <v>21.0</v>
      </c>
      <c r="B23" s="176"/>
      <c r="C23" s="168"/>
      <c r="D23" s="168"/>
      <c r="E23" s="168"/>
      <c r="F23" s="168"/>
      <c r="G23" s="168"/>
      <c r="H23" s="168"/>
      <c r="I23" s="198"/>
      <c r="J23" s="199"/>
      <c r="K23" s="200"/>
      <c r="L23" s="201"/>
      <c r="M23" s="201"/>
      <c r="N23" s="202"/>
      <c r="O23" s="203">
        <f t="shared" si="1"/>
        <v>0</v>
      </c>
      <c r="P23" s="1">
        <f t="shared" si="2"/>
        <v>0</v>
      </c>
      <c r="Q23" s="1">
        <f t="shared" si="3"/>
        <v>10</v>
      </c>
      <c r="R23" s="159"/>
    </row>
    <row r="24" ht="15.75" customHeight="1">
      <c r="A24" s="223">
        <v>22.0</v>
      </c>
      <c r="B24" s="176"/>
      <c r="C24" s="205"/>
      <c r="D24" s="205"/>
      <c r="E24" s="205"/>
      <c r="F24" s="205"/>
      <c r="G24" s="205"/>
      <c r="H24" s="205"/>
      <c r="I24" s="206"/>
      <c r="J24" s="199"/>
      <c r="K24" s="207"/>
      <c r="L24" s="208"/>
      <c r="M24" s="208"/>
      <c r="N24" s="209"/>
      <c r="O24" s="210">
        <f t="shared" si="1"/>
        <v>0</v>
      </c>
      <c r="P24" s="1">
        <f t="shared" si="2"/>
        <v>0</v>
      </c>
      <c r="Q24" s="1">
        <f t="shared" si="3"/>
        <v>10</v>
      </c>
      <c r="R24" s="159"/>
    </row>
    <row r="25" ht="15.75" customHeight="1">
      <c r="A25" s="175">
        <v>23.0</v>
      </c>
      <c r="B25" s="180"/>
      <c r="C25" s="211"/>
      <c r="D25" s="211"/>
      <c r="E25" s="211"/>
      <c r="F25" s="211"/>
      <c r="G25" s="211"/>
      <c r="H25" s="211"/>
      <c r="I25" s="211"/>
      <c r="J25" s="211"/>
      <c r="K25" s="212"/>
      <c r="L25" s="212"/>
      <c r="M25" s="212"/>
      <c r="N25" s="212"/>
      <c r="O25" s="174">
        <f t="shared" si="1"/>
        <v>0</v>
      </c>
      <c r="P25" s="1">
        <f t="shared" si="2"/>
        <v>0</v>
      </c>
      <c r="Q25" s="1">
        <f t="shared" si="3"/>
        <v>10</v>
      </c>
      <c r="R25" s="159"/>
    </row>
    <row r="26" ht="15.75" customHeight="1">
      <c r="A26" s="165">
        <v>24.0</v>
      </c>
      <c r="B26" s="180"/>
      <c r="C26" s="211"/>
      <c r="D26" s="211"/>
      <c r="E26" s="211"/>
      <c r="F26" s="211"/>
      <c r="G26" s="211"/>
      <c r="H26" s="211"/>
      <c r="I26" s="211"/>
      <c r="J26" s="211"/>
      <c r="K26" s="212"/>
      <c r="L26" s="212"/>
      <c r="M26" s="212"/>
      <c r="N26" s="212"/>
      <c r="O26" s="174">
        <f t="shared" si="1"/>
        <v>0</v>
      </c>
      <c r="P26" s="1">
        <f t="shared" si="2"/>
        <v>0</v>
      </c>
      <c r="Q26" s="1">
        <f t="shared" si="3"/>
        <v>10</v>
      </c>
      <c r="R26" s="159"/>
    </row>
    <row r="27" ht="15.75" customHeight="1">
      <c r="A27" s="175">
        <v>25.0</v>
      </c>
      <c r="B27" s="180"/>
      <c r="C27" s="211"/>
      <c r="D27" s="211"/>
      <c r="E27" s="211"/>
      <c r="F27" s="211"/>
      <c r="G27" s="211"/>
      <c r="H27" s="211"/>
      <c r="I27" s="211"/>
      <c r="J27" s="211"/>
      <c r="K27" s="212"/>
      <c r="L27" s="212"/>
      <c r="M27" s="212"/>
      <c r="N27" s="212"/>
      <c r="O27" s="174">
        <f t="shared" si="1"/>
        <v>0</v>
      </c>
      <c r="P27" s="1">
        <f t="shared" si="2"/>
        <v>0</v>
      </c>
      <c r="Q27" s="1">
        <f t="shared" si="3"/>
        <v>10</v>
      </c>
      <c r="R27" s="159"/>
    </row>
    <row r="28" ht="15.75" customHeight="1">
      <c r="A28" s="165">
        <v>26.0</v>
      </c>
      <c r="B28" s="184"/>
      <c r="C28" s="211"/>
      <c r="D28" s="211"/>
      <c r="E28" s="211"/>
      <c r="F28" s="211"/>
      <c r="G28" s="211"/>
      <c r="H28" s="211"/>
      <c r="I28" s="211"/>
      <c r="J28" s="211"/>
      <c r="K28" s="212"/>
      <c r="L28" s="212"/>
      <c r="M28" s="212"/>
      <c r="N28" s="212"/>
      <c r="O28" s="174">
        <f t="shared" si="1"/>
        <v>0</v>
      </c>
      <c r="P28" s="1">
        <f t="shared" si="2"/>
        <v>0</v>
      </c>
      <c r="Q28" s="1">
        <f t="shared" si="3"/>
        <v>10</v>
      </c>
      <c r="R28" s="159"/>
    </row>
    <row r="29" ht="15.75" customHeight="1">
      <c r="A29" s="175">
        <v>27.0</v>
      </c>
      <c r="B29" s="184"/>
      <c r="C29" s="211"/>
      <c r="D29" s="211"/>
      <c r="E29" s="211"/>
      <c r="F29" s="211"/>
      <c r="G29" s="211"/>
      <c r="H29" s="211"/>
      <c r="I29" s="211"/>
      <c r="J29" s="211"/>
      <c r="K29" s="212"/>
      <c r="L29" s="212"/>
      <c r="M29" s="212"/>
      <c r="N29" s="212"/>
      <c r="O29" s="174">
        <f t="shared" si="1"/>
        <v>0</v>
      </c>
      <c r="P29" s="1">
        <f t="shared" si="2"/>
        <v>0</v>
      </c>
      <c r="Q29" s="1">
        <f t="shared" si="3"/>
        <v>10</v>
      </c>
      <c r="R29" s="159"/>
    </row>
    <row r="30" ht="15.75" customHeight="1">
      <c r="A30" s="175">
        <v>28.0</v>
      </c>
      <c r="B30" s="180"/>
      <c r="C30" s="211"/>
      <c r="D30" s="211"/>
      <c r="E30" s="211"/>
      <c r="F30" s="211"/>
      <c r="G30" s="211"/>
      <c r="H30" s="211"/>
      <c r="I30" s="211"/>
      <c r="J30" s="211"/>
      <c r="K30" s="212"/>
      <c r="L30" s="212"/>
      <c r="M30" s="212"/>
      <c r="N30" s="212"/>
      <c r="O30" s="174">
        <f t="shared" si="1"/>
        <v>0</v>
      </c>
      <c r="P30" s="1">
        <f t="shared" si="2"/>
        <v>0</v>
      </c>
      <c r="Q30" s="1">
        <f t="shared" si="3"/>
        <v>10</v>
      </c>
      <c r="R30" s="159"/>
    </row>
    <row r="31" ht="15.75" customHeight="1">
      <c r="A31" s="165">
        <v>29.0</v>
      </c>
      <c r="B31" s="180"/>
      <c r="C31" s="211"/>
      <c r="D31" s="211"/>
      <c r="E31" s="211"/>
      <c r="F31" s="211"/>
      <c r="G31" s="211"/>
      <c r="H31" s="211"/>
      <c r="I31" s="213"/>
      <c r="J31" s="211"/>
      <c r="K31" s="212"/>
      <c r="L31" s="212"/>
      <c r="M31" s="212"/>
      <c r="N31" s="212"/>
      <c r="O31" s="174">
        <f t="shared" si="1"/>
        <v>0</v>
      </c>
      <c r="P31" s="1">
        <f t="shared" si="2"/>
        <v>0</v>
      </c>
      <c r="Q31" s="1">
        <f t="shared" si="3"/>
        <v>10</v>
      </c>
      <c r="R31" s="159"/>
    </row>
    <row r="32" ht="15.75" customHeight="1">
      <c r="A32" s="175">
        <v>30.0</v>
      </c>
      <c r="B32" s="180"/>
      <c r="C32" s="211"/>
      <c r="D32" s="211"/>
      <c r="E32" s="211"/>
      <c r="F32" s="211"/>
      <c r="G32" s="211"/>
      <c r="H32" s="211"/>
      <c r="I32" s="213"/>
      <c r="J32" s="211"/>
      <c r="K32" s="212"/>
      <c r="L32" s="212"/>
      <c r="M32" s="212"/>
      <c r="N32" s="212"/>
      <c r="O32" s="214">
        <f t="shared" si="1"/>
        <v>0</v>
      </c>
      <c r="P32" s="1">
        <f t="shared" si="2"/>
        <v>0</v>
      </c>
      <c r="Q32" s="1">
        <f t="shared" si="3"/>
        <v>10</v>
      </c>
      <c r="R32" s="159"/>
    </row>
    <row r="33" ht="15.75" customHeight="1">
      <c r="A33" s="175">
        <v>31.0</v>
      </c>
      <c r="B33" s="180"/>
      <c r="C33" s="211"/>
      <c r="D33" s="211"/>
      <c r="E33" s="211"/>
      <c r="F33" s="211"/>
      <c r="G33" s="211"/>
      <c r="H33" s="211"/>
      <c r="I33" s="213"/>
      <c r="J33" s="211"/>
      <c r="K33" s="212"/>
      <c r="L33" s="212"/>
      <c r="M33" s="212"/>
      <c r="N33" s="212"/>
      <c r="O33" s="214">
        <f t="shared" si="1"/>
        <v>0</v>
      </c>
      <c r="P33" s="1">
        <f t="shared" si="2"/>
        <v>0</v>
      </c>
      <c r="Q33" s="1">
        <f t="shared" si="3"/>
        <v>10</v>
      </c>
      <c r="R33" s="159"/>
    </row>
    <row r="34" ht="15.75" customHeight="1">
      <c r="A34" s="165">
        <v>32.0</v>
      </c>
      <c r="B34" s="180"/>
      <c r="C34" s="211"/>
      <c r="D34" s="213"/>
      <c r="E34" s="213"/>
      <c r="F34" s="211"/>
      <c r="G34" s="211"/>
      <c r="H34" s="211"/>
      <c r="I34" s="213"/>
      <c r="J34" s="211"/>
      <c r="K34" s="212"/>
      <c r="L34" s="212"/>
      <c r="M34" s="212"/>
      <c r="N34" s="212"/>
      <c r="O34" s="174">
        <f t="shared" si="1"/>
        <v>0</v>
      </c>
      <c r="P34" s="1">
        <f t="shared" si="2"/>
        <v>0</v>
      </c>
      <c r="Q34" s="1">
        <f t="shared" si="3"/>
        <v>10</v>
      </c>
      <c r="R34" s="159"/>
    </row>
    <row r="35" ht="15.75" customHeight="1">
      <c r="A35" s="175">
        <v>33.0</v>
      </c>
      <c r="B35" s="184"/>
      <c r="C35" s="211"/>
      <c r="D35" s="213"/>
      <c r="E35" s="213"/>
      <c r="F35" s="211"/>
      <c r="G35" s="211"/>
      <c r="H35" s="211"/>
      <c r="I35" s="213"/>
      <c r="J35" s="211"/>
      <c r="K35" s="212"/>
      <c r="L35" s="212"/>
      <c r="M35" s="212"/>
      <c r="N35" s="212"/>
      <c r="O35" s="214">
        <f t="shared" si="1"/>
        <v>0</v>
      </c>
      <c r="P35" s="1">
        <f t="shared" si="2"/>
        <v>0</v>
      </c>
      <c r="Q35" s="1">
        <f>RANK(P35,$P$3:$P$35)</f>
        <v>10</v>
      </c>
      <c r="R35" s="225"/>
    </row>
    <row r="36" ht="15.75" customHeight="1">
      <c r="A36" s="175">
        <v>34.0</v>
      </c>
      <c r="B36" s="188"/>
      <c r="C36" s="213"/>
      <c r="D36" s="213"/>
      <c r="E36" s="213"/>
      <c r="F36" s="213"/>
      <c r="G36" s="213"/>
      <c r="H36" s="213"/>
      <c r="I36" s="213"/>
      <c r="J36" s="211"/>
      <c r="K36" s="215"/>
      <c r="L36" s="215"/>
      <c r="M36" s="215"/>
      <c r="N36" s="215"/>
      <c r="O36" s="174">
        <f t="shared" si="1"/>
        <v>0</v>
      </c>
      <c r="P36" s="1">
        <f t="shared" si="2"/>
        <v>0</v>
      </c>
      <c r="Q36" s="1">
        <f t="shared" ref="Q36:Q43" si="4">RANK(P36,$P$3:$P$43)</f>
        <v>10</v>
      </c>
      <c r="R36" s="159"/>
    </row>
    <row r="37" ht="15.75" customHeight="1">
      <c r="A37" s="165">
        <v>35.0</v>
      </c>
      <c r="B37" s="184"/>
      <c r="C37" s="213"/>
      <c r="D37" s="213"/>
      <c r="E37" s="213"/>
      <c r="F37" s="213"/>
      <c r="G37" s="213"/>
      <c r="H37" s="213"/>
      <c r="I37" s="213"/>
      <c r="J37" s="211"/>
      <c r="K37" s="215"/>
      <c r="L37" s="215"/>
      <c r="M37" s="215"/>
      <c r="N37" s="215"/>
      <c r="O37" s="174">
        <f t="shared" si="1"/>
        <v>0</v>
      </c>
      <c r="P37" s="1">
        <f t="shared" si="2"/>
        <v>0</v>
      </c>
      <c r="Q37" s="1">
        <f t="shared" si="4"/>
        <v>10</v>
      </c>
      <c r="R37" s="159"/>
    </row>
    <row r="38" ht="15.75" customHeight="1">
      <c r="A38" s="175">
        <v>36.0</v>
      </c>
      <c r="B38" s="184"/>
      <c r="C38" s="213"/>
      <c r="D38" s="213"/>
      <c r="E38" s="213"/>
      <c r="F38" s="213"/>
      <c r="G38" s="213"/>
      <c r="H38" s="213"/>
      <c r="I38" s="213"/>
      <c r="J38" s="211"/>
      <c r="K38" s="215"/>
      <c r="L38" s="215"/>
      <c r="M38" s="215"/>
      <c r="N38" s="215"/>
      <c r="O38" s="174">
        <f t="shared" si="1"/>
        <v>0</v>
      </c>
      <c r="P38" s="1">
        <f t="shared" si="2"/>
        <v>0</v>
      </c>
      <c r="Q38" s="1">
        <f t="shared" si="4"/>
        <v>10</v>
      </c>
      <c r="R38" s="159"/>
    </row>
    <row r="39" ht="15.75" customHeight="1">
      <c r="A39" s="165">
        <v>37.0</v>
      </c>
      <c r="B39" s="184"/>
      <c r="C39" s="213"/>
      <c r="D39" s="213"/>
      <c r="E39" s="213"/>
      <c r="F39" s="213"/>
      <c r="G39" s="213"/>
      <c r="H39" s="213"/>
      <c r="I39" s="213"/>
      <c r="J39" s="211"/>
      <c r="K39" s="215"/>
      <c r="L39" s="215"/>
      <c r="M39" s="215"/>
      <c r="N39" s="215"/>
      <c r="O39" s="174">
        <f t="shared" si="1"/>
        <v>0</v>
      </c>
      <c r="P39" s="1">
        <f t="shared" si="2"/>
        <v>0</v>
      </c>
      <c r="Q39" s="1">
        <f t="shared" si="4"/>
        <v>10</v>
      </c>
      <c r="R39" s="159"/>
    </row>
    <row r="40" ht="15.75" customHeight="1">
      <c r="A40" s="175">
        <v>38.0</v>
      </c>
      <c r="B40" s="184"/>
      <c r="C40" s="213"/>
      <c r="D40" s="213"/>
      <c r="E40" s="213"/>
      <c r="F40" s="213"/>
      <c r="G40" s="213"/>
      <c r="H40" s="213"/>
      <c r="I40" s="213"/>
      <c r="J40" s="211"/>
      <c r="K40" s="215"/>
      <c r="L40" s="215"/>
      <c r="M40" s="215"/>
      <c r="N40" s="215"/>
      <c r="O40" s="174">
        <f t="shared" si="1"/>
        <v>0</v>
      </c>
      <c r="P40" s="1">
        <f t="shared" si="2"/>
        <v>0</v>
      </c>
      <c r="Q40" s="1">
        <f t="shared" si="4"/>
        <v>10</v>
      </c>
      <c r="R40" s="159"/>
    </row>
    <row r="41" ht="15.75" customHeight="1">
      <c r="A41" s="175">
        <v>39.0</v>
      </c>
      <c r="B41" s="184"/>
      <c r="C41" s="213"/>
      <c r="D41" s="213"/>
      <c r="E41" s="213"/>
      <c r="F41" s="213"/>
      <c r="G41" s="213"/>
      <c r="H41" s="213"/>
      <c r="I41" s="213"/>
      <c r="J41" s="211"/>
      <c r="K41" s="215"/>
      <c r="L41" s="215"/>
      <c r="M41" s="215"/>
      <c r="N41" s="215"/>
      <c r="O41" s="174">
        <f t="shared" si="1"/>
        <v>0</v>
      </c>
      <c r="P41" s="1">
        <f t="shared" si="2"/>
        <v>0</v>
      </c>
      <c r="Q41" s="1">
        <f t="shared" si="4"/>
        <v>10</v>
      </c>
      <c r="R41" s="159"/>
    </row>
    <row r="42" ht="15.75" customHeight="1">
      <c r="A42" s="165">
        <v>40.0</v>
      </c>
      <c r="B42" s="193"/>
      <c r="C42" s="213"/>
      <c r="D42" s="213"/>
      <c r="E42" s="213"/>
      <c r="F42" s="213"/>
      <c r="G42" s="213"/>
      <c r="H42" s="213"/>
      <c r="I42" s="213"/>
      <c r="J42" s="211"/>
      <c r="K42" s="215"/>
      <c r="L42" s="215"/>
      <c r="M42" s="215"/>
      <c r="N42" s="215"/>
      <c r="O42" s="174">
        <f t="shared" si="1"/>
        <v>0</v>
      </c>
      <c r="P42" s="1">
        <f t="shared" si="2"/>
        <v>0</v>
      </c>
      <c r="Q42" s="1">
        <f t="shared" si="4"/>
        <v>10</v>
      </c>
      <c r="R42" s="159"/>
    </row>
    <row r="43" ht="15.75" customHeight="1">
      <c r="A43" s="165">
        <v>41.0</v>
      </c>
      <c r="B43" s="193"/>
      <c r="C43" s="213"/>
      <c r="D43" s="213"/>
      <c r="E43" s="213"/>
      <c r="F43" s="213"/>
      <c r="G43" s="213"/>
      <c r="H43" s="213"/>
      <c r="I43" s="213"/>
      <c r="J43" s="211"/>
      <c r="K43" s="215"/>
      <c r="L43" s="215"/>
      <c r="M43" s="215"/>
      <c r="N43" s="215"/>
      <c r="O43" s="174">
        <f t="shared" si="1"/>
        <v>0</v>
      </c>
      <c r="P43" s="1">
        <f t="shared" si="2"/>
        <v>0</v>
      </c>
      <c r="Q43" s="1">
        <f t="shared" si="4"/>
        <v>10</v>
      </c>
      <c r="R43" s="159"/>
    </row>
    <row r="44" ht="15.75" customHeight="1">
      <c r="A44" s="194"/>
      <c r="C44" s="1" t="s">
        <v>151</v>
      </c>
      <c r="E44" s="1" t="s">
        <v>151</v>
      </c>
      <c r="H44" s="1" t="s">
        <v>151</v>
      </c>
      <c r="O44" s="10"/>
      <c r="R44" s="159"/>
    </row>
    <row r="45" ht="15.75" customHeight="1">
      <c r="A45" s="194"/>
      <c r="C45" s="1" t="s">
        <v>151</v>
      </c>
      <c r="E45" s="1" t="s">
        <v>151</v>
      </c>
      <c r="H45" s="1" t="s">
        <v>151</v>
      </c>
      <c r="O45" s="10"/>
      <c r="R45" s="159"/>
    </row>
    <row r="46" ht="15.75" customHeight="1">
      <c r="A46" s="194"/>
      <c r="C46" s="1" t="s">
        <v>151</v>
      </c>
      <c r="E46" s="1" t="s">
        <v>151</v>
      </c>
      <c r="H46" s="1" t="s">
        <v>151</v>
      </c>
      <c r="O46" s="10"/>
      <c r="R46" s="159"/>
    </row>
    <row r="47" ht="15.75" customHeight="1">
      <c r="A47" s="194"/>
      <c r="C47" s="1" t="s">
        <v>151</v>
      </c>
      <c r="E47" s="1" t="s">
        <v>151</v>
      </c>
      <c r="H47" s="1" t="s">
        <v>151</v>
      </c>
      <c r="O47" s="10"/>
      <c r="R47" s="159"/>
    </row>
    <row r="48" ht="15.75" customHeight="1">
      <c r="A48" s="194"/>
      <c r="C48" s="1" t="s">
        <v>151</v>
      </c>
      <c r="E48" s="1" t="s">
        <v>151</v>
      </c>
      <c r="H48" s="1" t="s">
        <v>151</v>
      </c>
      <c r="O48" s="10"/>
      <c r="R48" s="159"/>
    </row>
    <row r="49" ht="15.75" customHeight="1">
      <c r="A49" s="194"/>
      <c r="C49" s="1" t="s">
        <v>151</v>
      </c>
      <c r="E49" s="1" t="s">
        <v>151</v>
      </c>
      <c r="H49" s="1" t="s">
        <v>151</v>
      </c>
      <c r="O49" s="10"/>
      <c r="R49" s="159"/>
    </row>
    <row r="50" ht="15.75" customHeight="1">
      <c r="A50" s="194"/>
      <c r="C50" s="1" t="s">
        <v>151</v>
      </c>
      <c r="E50" s="1" t="s">
        <v>151</v>
      </c>
      <c r="H50" s="1" t="s">
        <v>151</v>
      </c>
      <c r="O50" s="10"/>
      <c r="R50" s="159"/>
    </row>
    <row r="51" ht="15.75" customHeight="1">
      <c r="A51" s="194"/>
      <c r="C51" s="1" t="s">
        <v>151</v>
      </c>
      <c r="E51" s="1" t="s">
        <v>151</v>
      </c>
      <c r="H51" s="1" t="s">
        <v>151</v>
      </c>
      <c r="O51" s="10"/>
      <c r="R51" s="159"/>
    </row>
    <row r="52" ht="15.75" customHeight="1">
      <c r="A52" s="194"/>
      <c r="C52" s="1" t="s">
        <v>151</v>
      </c>
      <c r="E52" s="1" t="s">
        <v>151</v>
      </c>
      <c r="H52" s="1" t="s">
        <v>151</v>
      </c>
      <c r="O52" s="10"/>
      <c r="R52" s="159"/>
    </row>
    <row r="53" ht="15.75" customHeight="1">
      <c r="A53" s="195"/>
      <c r="B53" s="196"/>
      <c r="C53" s="196" t="s">
        <v>151</v>
      </c>
      <c r="D53" s="196"/>
      <c r="E53" s="196" t="s">
        <v>151</v>
      </c>
      <c r="F53" s="196"/>
      <c r="G53" s="196"/>
      <c r="H53" s="196" t="s">
        <v>151</v>
      </c>
      <c r="I53" s="196"/>
      <c r="J53" s="196"/>
      <c r="K53" s="196"/>
      <c r="L53" s="196"/>
      <c r="M53" s="196"/>
      <c r="N53" s="196"/>
      <c r="O53" s="197"/>
      <c r="R53" s="159"/>
    </row>
    <row r="54" ht="15.75" customHeight="1">
      <c r="C54" s="1" t="s">
        <v>151</v>
      </c>
      <c r="R54" s="159"/>
    </row>
    <row r="55" ht="15.75" customHeight="1">
      <c r="C55" s="1" t="s">
        <v>151</v>
      </c>
      <c r="R55" s="159"/>
    </row>
    <row r="56" ht="15.75" customHeight="1">
      <c r="C56" s="1" t="s">
        <v>151</v>
      </c>
      <c r="R56" s="159"/>
    </row>
    <row r="57" ht="15.75" customHeight="1">
      <c r="C57" s="1" t="s">
        <v>151</v>
      </c>
      <c r="R57" s="159"/>
    </row>
    <row r="58" ht="15.75" customHeight="1">
      <c r="C58" s="1" t="s">
        <v>151</v>
      </c>
      <c r="R58" s="159"/>
    </row>
    <row r="59" ht="15.75" customHeight="1">
      <c r="C59" s="1" t="s">
        <v>151</v>
      </c>
      <c r="R59" s="159"/>
    </row>
    <row r="60" ht="15.75" customHeight="1">
      <c r="C60" s="1" t="s">
        <v>151</v>
      </c>
      <c r="R60" s="159"/>
    </row>
    <row r="61" ht="15.75" customHeight="1">
      <c r="R61" s="159"/>
    </row>
    <row r="62" ht="15.75" customHeight="1">
      <c r="R62" s="159"/>
    </row>
    <row r="63" ht="15.75" customHeight="1">
      <c r="R63" s="159"/>
    </row>
    <row r="64" ht="15.75" customHeight="1">
      <c r="R64" s="159"/>
    </row>
    <row r="65" ht="15.75" customHeight="1">
      <c r="R65" s="159"/>
    </row>
    <row r="66" ht="15.75" customHeight="1">
      <c r="R66" s="159"/>
    </row>
    <row r="67" ht="15.75" customHeight="1">
      <c r="R67" s="159"/>
    </row>
    <row r="68" ht="15.75" customHeight="1">
      <c r="R68" s="159"/>
    </row>
    <row r="69" ht="15.75" customHeight="1">
      <c r="R69" s="159"/>
    </row>
    <row r="70" ht="15.75" customHeight="1">
      <c r="R70" s="159"/>
    </row>
    <row r="71" ht="15.75" customHeight="1">
      <c r="R71" s="159"/>
    </row>
    <row r="72" ht="15.75" customHeight="1">
      <c r="R72" s="159"/>
    </row>
    <row r="73" ht="15.75" customHeight="1">
      <c r="R73" s="159"/>
    </row>
    <row r="74" ht="15.75" customHeight="1">
      <c r="R74" s="159"/>
    </row>
    <row r="75" ht="15.75" customHeight="1">
      <c r="R75" s="159"/>
    </row>
    <row r="76" ht="15.75" customHeight="1">
      <c r="R76" s="159"/>
    </row>
    <row r="77" ht="15.75" customHeight="1">
      <c r="R77" s="159"/>
    </row>
    <row r="78" ht="15.75" customHeight="1">
      <c r="R78" s="159"/>
    </row>
    <row r="79" ht="15.75" customHeight="1">
      <c r="R79" s="159"/>
    </row>
    <row r="80" ht="15.75" customHeight="1">
      <c r="R80" s="159"/>
    </row>
    <row r="81" ht="15.75" customHeight="1">
      <c r="R81" s="159"/>
    </row>
    <row r="82" ht="15.75" customHeight="1">
      <c r="R82" s="159"/>
    </row>
    <row r="83" ht="15.75" customHeight="1">
      <c r="R83" s="159"/>
    </row>
    <row r="84" ht="15.75" customHeight="1">
      <c r="R84" s="159"/>
    </row>
    <row r="85" ht="15.75" customHeight="1">
      <c r="R85" s="159"/>
    </row>
    <row r="86" ht="15.75" customHeight="1">
      <c r="R86" s="159"/>
    </row>
    <row r="87" ht="15.75" customHeight="1">
      <c r="R87" s="159"/>
    </row>
    <row r="88" ht="15.75" customHeight="1">
      <c r="R88" s="159"/>
    </row>
    <row r="89" ht="15.75" customHeight="1">
      <c r="R89" s="159"/>
    </row>
    <row r="90" ht="15.75" customHeight="1">
      <c r="R90" s="159"/>
    </row>
    <row r="91" ht="15.75" customHeight="1">
      <c r="R91" s="159"/>
    </row>
    <row r="92" ht="15.75" customHeight="1">
      <c r="R92" s="159"/>
    </row>
    <row r="93" ht="15.75" customHeight="1">
      <c r="R93" s="159"/>
    </row>
    <row r="94" ht="15.75" customHeight="1">
      <c r="R94" s="159"/>
    </row>
    <row r="95" ht="15.75" customHeight="1">
      <c r="R95" s="159"/>
    </row>
    <row r="96" ht="15.75" customHeight="1">
      <c r="R96" s="159"/>
    </row>
    <row r="97" ht="15.75" customHeight="1">
      <c r="R97" s="159"/>
    </row>
    <row r="98" ht="15.75" customHeight="1">
      <c r="R98" s="159"/>
    </row>
    <row r="99" ht="15.75" customHeight="1">
      <c r="R99" s="159"/>
    </row>
    <row r="100" ht="15.75" customHeight="1">
      <c r="R100" s="159"/>
    </row>
    <row r="101" ht="15.75" customHeight="1">
      <c r="R101" s="159"/>
    </row>
    <row r="102" ht="15.75" customHeight="1">
      <c r="R102" s="159"/>
    </row>
    <row r="103" ht="15.75" customHeight="1">
      <c r="R103" s="159"/>
    </row>
    <row r="104" ht="15.75" customHeight="1">
      <c r="R104" s="159"/>
    </row>
    <row r="105" ht="15.75" customHeight="1">
      <c r="R105" s="159"/>
    </row>
    <row r="106" ht="15.75" customHeight="1">
      <c r="R106" s="159"/>
    </row>
    <row r="107" ht="15.75" customHeight="1">
      <c r="R107" s="159"/>
    </row>
    <row r="108" ht="15.75" customHeight="1">
      <c r="R108" s="159"/>
    </row>
    <row r="109" ht="15.75" customHeight="1">
      <c r="R109" s="159"/>
    </row>
    <row r="110" ht="15.75" customHeight="1">
      <c r="R110" s="159"/>
    </row>
    <row r="111" ht="15.75" customHeight="1">
      <c r="R111" s="159"/>
    </row>
    <row r="112" ht="15.75" customHeight="1">
      <c r="R112" s="159"/>
    </row>
    <row r="113" ht="15.75" customHeight="1">
      <c r="R113" s="159"/>
    </row>
    <row r="114" ht="15.75" customHeight="1">
      <c r="R114" s="159"/>
    </row>
    <row r="115" ht="15.75" customHeight="1">
      <c r="R115" s="159"/>
    </row>
    <row r="116" ht="15.75" customHeight="1">
      <c r="R116" s="159"/>
    </row>
    <row r="117" ht="15.75" customHeight="1">
      <c r="R117" s="159"/>
    </row>
    <row r="118" ht="15.75" customHeight="1">
      <c r="R118" s="159"/>
    </row>
    <row r="119" ht="15.75" customHeight="1">
      <c r="R119" s="159"/>
    </row>
    <row r="120" ht="15.75" customHeight="1">
      <c r="R120" s="159"/>
    </row>
    <row r="121" ht="15.75" customHeight="1">
      <c r="R121" s="159"/>
    </row>
    <row r="122" ht="15.75" customHeight="1">
      <c r="R122" s="159"/>
    </row>
    <row r="123" ht="15.75" customHeight="1">
      <c r="R123" s="159"/>
    </row>
    <row r="124" ht="15.75" customHeight="1">
      <c r="R124" s="159"/>
    </row>
    <row r="125" ht="15.75" customHeight="1">
      <c r="R125" s="159"/>
    </row>
    <row r="126" ht="15.75" customHeight="1">
      <c r="R126" s="159"/>
    </row>
    <row r="127" ht="15.75" customHeight="1">
      <c r="R127" s="159"/>
    </row>
    <row r="128" ht="15.75" customHeight="1">
      <c r="R128" s="159"/>
    </row>
    <row r="129" ht="15.75" customHeight="1">
      <c r="R129" s="159"/>
    </row>
    <row r="130" ht="15.75" customHeight="1">
      <c r="R130" s="159"/>
    </row>
    <row r="131" ht="15.75" customHeight="1">
      <c r="R131" s="159"/>
    </row>
    <row r="132" ht="15.75" customHeight="1">
      <c r="R132" s="159"/>
    </row>
    <row r="133" ht="15.75" customHeight="1">
      <c r="R133" s="159"/>
    </row>
    <row r="134" ht="15.75" customHeight="1">
      <c r="R134" s="159"/>
    </row>
    <row r="135" ht="15.75" customHeight="1">
      <c r="R135" s="159"/>
    </row>
    <row r="136" ht="15.75" customHeight="1">
      <c r="R136" s="159"/>
    </row>
    <row r="137" ht="15.75" customHeight="1">
      <c r="R137" s="159"/>
    </row>
    <row r="138" ht="15.75" customHeight="1">
      <c r="R138" s="159"/>
    </row>
    <row r="139" ht="15.75" customHeight="1">
      <c r="R139" s="159"/>
    </row>
    <row r="140" ht="15.75" customHeight="1">
      <c r="R140" s="159"/>
    </row>
    <row r="141" ht="15.75" customHeight="1">
      <c r="R141" s="159"/>
    </row>
    <row r="142" ht="15.75" customHeight="1">
      <c r="R142" s="159"/>
    </row>
    <row r="143" ht="15.75" customHeight="1">
      <c r="R143" s="159"/>
    </row>
    <row r="144" ht="15.75" customHeight="1">
      <c r="R144" s="159"/>
    </row>
    <row r="145" ht="15.75" customHeight="1">
      <c r="R145" s="159"/>
    </row>
    <row r="146" ht="15.75" customHeight="1">
      <c r="R146" s="159"/>
    </row>
    <row r="147" ht="15.75" customHeight="1">
      <c r="R147" s="159"/>
    </row>
    <row r="148" ht="15.75" customHeight="1">
      <c r="R148" s="159"/>
    </row>
    <row r="149" ht="15.75" customHeight="1">
      <c r="R149" s="159"/>
    </row>
    <row r="150" ht="15.75" customHeight="1">
      <c r="R150" s="159"/>
    </row>
    <row r="151" ht="15.75" customHeight="1">
      <c r="R151" s="159"/>
    </row>
    <row r="152" ht="15.75" customHeight="1">
      <c r="R152" s="159"/>
    </row>
    <row r="153" ht="15.75" customHeight="1">
      <c r="R153" s="159"/>
    </row>
    <row r="154" ht="15.75" customHeight="1">
      <c r="R154" s="159"/>
    </row>
    <row r="155" ht="15.75" customHeight="1">
      <c r="R155" s="159"/>
    </row>
    <row r="156" ht="15.75" customHeight="1">
      <c r="R156" s="159"/>
    </row>
    <row r="157" ht="15.75" customHeight="1">
      <c r="R157" s="159"/>
    </row>
    <row r="158" ht="15.75" customHeight="1">
      <c r="R158" s="159"/>
    </row>
    <row r="159" ht="15.75" customHeight="1">
      <c r="R159" s="159"/>
    </row>
    <row r="160" ht="15.75" customHeight="1">
      <c r="R160" s="159"/>
    </row>
    <row r="161" ht="15.75" customHeight="1">
      <c r="R161" s="159"/>
    </row>
    <row r="162" ht="15.75" customHeight="1">
      <c r="R162" s="159"/>
    </row>
    <row r="163" ht="15.75" customHeight="1">
      <c r="R163" s="159"/>
    </row>
    <row r="164" ht="15.75" customHeight="1">
      <c r="R164" s="159"/>
    </row>
    <row r="165" ht="15.75" customHeight="1">
      <c r="R165" s="159"/>
    </row>
    <row r="166" ht="15.75" customHeight="1">
      <c r="R166" s="159"/>
    </row>
    <row r="167" ht="15.75" customHeight="1">
      <c r="R167" s="159"/>
    </row>
    <row r="168" ht="15.75" customHeight="1">
      <c r="R168" s="159"/>
    </row>
    <row r="169" ht="15.75" customHeight="1">
      <c r="R169" s="159"/>
    </row>
    <row r="170" ht="15.75" customHeight="1">
      <c r="R170" s="159"/>
    </row>
    <row r="171" ht="15.75" customHeight="1">
      <c r="R171" s="159"/>
    </row>
    <row r="172" ht="15.75" customHeight="1">
      <c r="R172" s="159"/>
    </row>
    <row r="173" ht="15.75" customHeight="1">
      <c r="R173" s="159"/>
    </row>
    <row r="174" ht="15.75" customHeight="1">
      <c r="R174" s="159"/>
    </row>
    <row r="175" ht="15.75" customHeight="1">
      <c r="R175" s="159"/>
    </row>
    <row r="176" ht="15.75" customHeight="1">
      <c r="R176" s="159"/>
    </row>
    <row r="177" ht="15.75" customHeight="1">
      <c r="R177" s="159"/>
    </row>
    <row r="178" ht="15.75" customHeight="1">
      <c r="R178" s="159"/>
    </row>
    <row r="179" ht="15.75" customHeight="1">
      <c r="R179" s="159"/>
    </row>
    <row r="180" ht="15.75" customHeight="1">
      <c r="R180" s="159"/>
    </row>
    <row r="181" ht="15.75" customHeight="1">
      <c r="R181" s="159"/>
    </row>
    <row r="182" ht="15.75" customHeight="1">
      <c r="R182" s="159"/>
    </row>
    <row r="183" ht="15.75" customHeight="1">
      <c r="R183" s="159"/>
    </row>
    <row r="184" ht="15.75" customHeight="1">
      <c r="R184" s="159"/>
    </row>
    <row r="185" ht="15.75" customHeight="1">
      <c r="R185" s="159"/>
    </row>
    <row r="186" ht="15.75" customHeight="1">
      <c r="R186" s="159"/>
    </row>
    <row r="187" ht="15.75" customHeight="1">
      <c r="R187" s="159"/>
    </row>
    <row r="188" ht="15.75" customHeight="1">
      <c r="R188" s="159"/>
    </row>
    <row r="189" ht="15.75" customHeight="1">
      <c r="R189" s="159"/>
    </row>
    <row r="190" ht="15.75" customHeight="1">
      <c r="R190" s="159"/>
    </row>
    <row r="191" ht="15.75" customHeight="1">
      <c r="R191" s="159"/>
    </row>
    <row r="192" ht="15.75" customHeight="1">
      <c r="R192" s="159"/>
    </row>
    <row r="193" ht="15.75" customHeight="1">
      <c r="R193" s="159"/>
    </row>
    <row r="194" ht="15.75" customHeight="1">
      <c r="R194" s="159"/>
    </row>
    <row r="195" ht="15.75" customHeight="1">
      <c r="R195" s="159"/>
    </row>
    <row r="196" ht="15.75" customHeight="1">
      <c r="R196" s="159"/>
    </row>
    <row r="197" ht="15.75" customHeight="1">
      <c r="R197" s="159"/>
    </row>
    <row r="198" ht="15.75" customHeight="1">
      <c r="R198" s="159"/>
    </row>
    <row r="199" ht="15.75" customHeight="1">
      <c r="R199" s="159"/>
    </row>
    <row r="200" ht="15.75" customHeight="1">
      <c r="R200" s="159"/>
    </row>
    <row r="201" ht="15.75" customHeight="1">
      <c r="R201" s="159"/>
    </row>
    <row r="202" ht="15.75" customHeight="1">
      <c r="R202" s="159"/>
    </row>
    <row r="203" ht="15.75" customHeight="1">
      <c r="R203" s="159"/>
    </row>
    <row r="204" ht="15.75" customHeight="1">
      <c r="R204" s="159"/>
    </row>
    <row r="205" ht="15.75" customHeight="1">
      <c r="R205" s="159"/>
    </row>
    <row r="206" ht="15.75" customHeight="1">
      <c r="R206" s="159"/>
    </row>
    <row r="207" ht="15.75" customHeight="1">
      <c r="R207" s="159"/>
    </row>
    <row r="208" ht="15.75" customHeight="1">
      <c r="R208" s="159"/>
    </row>
    <row r="209" ht="15.75" customHeight="1">
      <c r="R209" s="159"/>
    </row>
    <row r="210" ht="15.75" customHeight="1">
      <c r="R210" s="159"/>
    </row>
    <row r="211" ht="15.75" customHeight="1">
      <c r="R211" s="159"/>
    </row>
    <row r="212" ht="15.75" customHeight="1">
      <c r="R212" s="159"/>
    </row>
    <row r="213" ht="15.75" customHeight="1">
      <c r="R213" s="159"/>
    </row>
    <row r="214" ht="15.75" customHeight="1">
      <c r="R214" s="159"/>
    </row>
    <row r="215" ht="15.75" customHeight="1">
      <c r="R215" s="159"/>
    </row>
    <row r="216" ht="15.75" customHeight="1">
      <c r="R216" s="159"/>
    </row>
    <row r="217" ht="15.75" customHeight="1">
      <c r="R217" s="159"/>
    </row>
    <row r="218" ht="15.75" customHeight="1">
      <c r="R218" s="159"/>
    </row>
    <row r="219" ht="15.75" customHeight="1">
      <c r="R219" s="159"/>
    </row>
    <row r="220" ht="15.75" customHeight="1">
      <c r="R220" s="159"/>
    </row>
    <row r="221" ht="15.75" customHeight="1">
      <c r="R221" s="159"/>
    </row>
    <row r="222" ht="15.75" customHeight="1">
      <c r="R222" s="159"/>
    </row>
    <row r="223" ht="15.75" customHeight="1">
      <c r="R223" s="159"/>
    </row>
    <row r="224" ht="15.75" customHeight="1">
      <c r="R224" s="159"/>
    </row>
    <row r="225" ht="15.75" customHeight="1">
      <c r="R225" s="159"/>
    </row>
    <row r="226" ht="15.75" customHeight="1">
      <c r="R226" s="159"/>
    </row>
    <row r="227" ht="15.75" customHeight="1">
      <c r="R227" s="159"/>
    </row>
    <row r="228" ht="15.75" customHeight="1">
      <c r="R228" s="159"/>
    </row>
    <row r="229" ht="15.75" customHeight="1">
      <c r="R229" s="159"/>
    </row>
    <row r="230" ht="15.75" customHeight="1">
      <c r="R230" s="159"/>
    </row>
    <row r="231" ht="15.75" customHeight="1">
      <c r="R231" s="159"/>
    </row>
    <row r="232" ht="15.75" customHeight="1">
      <c r="R232" s="159"/>
    </row>
    <row r="233" ht="15.75" customHeight="1">
      <c r="R233" s="159"/>
    </row>
    <row r="234" ht="15.75" customHeight="1">
      <c r="R234" s="159"/>
    </row>
    <row r="235" ht="15.75" customHeight="1">
      <c r="R235" s="159"/>
    </row>
    <row r="236" ht="15.75" customHeight="1">
      <c r="R236" s="159"/>
    </row>
    <row r="237" ht="15.75" customHeight="1">
      <c r="R237" s="159"/>
    </row>
    <row r="238" ht="15.75" customHeight="1">
      <c r="R238" s="159"/>
    </row>
    <row r="239" ht="15.75" customHeight="1">
      <c r="R239" s="159"/>
    </row>
    <row r="240" ht="15.75" customHeight="1">
      <c r="R240" s="159"/>
    </row>
    <row r="241" ht="15.75" customHeight="1">
      <c r="R241" s="159"/>
    </row>
    <row r="242" ht="15.75" customHeight="1">
      <c r="R242" s="159"/>
    </row>
    <row r="243" ht="15.75" customHeight="1">
      <c r="R243" s="159"/>
    </row>
    <row r="244" ht="15.75" customHeight="1">
      <c r="R244" s="159"/>
    </row>
    <row r="245" ht="15.75" customHeight="1">
      <c r="R245" s="159"/>
    </row>
    <row r="246" ht="15.75" customHeight="1">
      <c r="R246" s="159"/>
    </row>
    <row r="247" ht="15.75" customHeight="1">
      <c r="R247" s="159"/>
    </row>
    <row r="248" ht="15.75" customHeight="1">
      <c r="R248" s="159"/>
    </row>
    <row r="249" ht="15.75" customHeight="1">
      <c r="R249" s="159"/>
    </row>
    <row r="250" ht="15.75" customHeight="1">
      <c r="R250" s="159"/>
    </row>
    <row r="251" ht="15.75" customHeight="1">
      <c r="R251" s="159"/>
    </row>
    <row r="252" ht="15.75" customHeight="1">
      <c r="R252" s="159"/>
    </row>
    <row r="253" ht="15.75" customHeight="1">
      <c r="R253" s="159"/>
    </row>
    <row r="254" ht="15.75" customHeight="1">
      <c r="R254" s="159"/>
    </row>
    <row r="255" ht="15.75" customHeight="1">
      <c r="R255" s="159"/>
    </row>
    <row r="256" ht="15.75" customHeight="1">
      <c r="R256" s="159"/>
    </row>
    <row r="257" ht="15.75" customHeight="1">
      <c r="R257" s="159"/>
    </row>
    <row r="258" ht="15.75" customHeight="1">
      <c r="R258" s="159"/>
    </row>
    <row r="259" ht="15.75" customHeight="1">
      <c r="R259" s="159"/>
    </row>
    <row r="260" ht="15.75" customHeight="1">
      <c r="R260" s="159"/>
    </row>
    <row r="261" ht="15.75" customHeight="1">
      <c r="R261" s="159"/>
    </row>
    <row r="262" ht="15.75" customHeight="1">
      <c r="R262" s="159"/>
    </row>
    <row r="263" ht="15.75" customHeight="1">
      <c r="R263" s="159"/>
    </row>
    <row r="264" ht="15.75" customHeight="1">
      <c r="R264" s="159"/>
    </row>
    <row r="265" ht="15.75" customHeight="1">
      <c r="R265" s="159"/>
    </row>
    <row r="266" ht="15.75" customHeight="1">
      <c r="R266" s="159"/>
    </row>
    <row r="267" ht="15.75" customHeight="1">
      <c r="R267" s="159"/>
    </row>
    <row r="268" ht="15.75" customHeight="1">
      <c r="R268" s="159"/>
    </row>
    <row r="269" ht="15.75" customHeight="1">
      <c r="R269" s="159"/>
    </row>
    <row r="270" ht="15.75" customHeight="1">
      <c r="R270" s="159"/>
    </row>
    <row r="271" ht="15.75" customHeight="1">
      <c r="R271" s="159"/>
    </row>
    <row r="272" ht="15.75" customHeight="1">
      <c r="R272" s="159"/>
    </row>
    <row r="273" ht="15.75" customHeight="1">
      <c r="R273" s="159"/>
    </row>
    <row r="274" ht="15.75" customHeight="1">
      <c r="R274" s="159"/>
    </row>
    <row r="275" ht="15.75" customHeight="1">
      <c r="R275" s="159"/>
    </row>
    <row r="276" ht="15.75" customHeight="1">
      <c r="R276" s="159"/>
    </row>
    <row r="277" ht="15.75" customHeight="1">
      <c r="R277" s="159"/>
    </row>
    <row r="278" ht="15.75" customHeight="1">
      <c r="R278" s="159"/>
    </row>
    <row r="279" ht="15.75" customHeight="1">
      <c r="R279" s="159"/>
    </row>
    <row r="280" ht="15.75" customHeight="1">
      <c r="R280" s="159"/>
    </row>
    <row r="281" ht="15.75" customHeight="1">
      <c r="R281" s="159"/>
    </row>
    <row r="282" ht="15.75" customHeight="1">
      <c r="R282" s="159"/>
    </row>
    <row r="283" ht="15.75" customHeight="1">
      <c r="R283" s="159"/>
    </row>
    <row r="284" ht="15.75" customHeight="1">
      <c r="R284" s="159"/>
    </row>
    <row r="285" ht="15.75" customHeight="1">
      <c r="R285" s="159"/>
    </row>
    <row r="286" ht="15.75" customHeight="1">
      <c r="R286" s="159"/>
    </row>
    <row r="287" ht="15.75" customHeight="1">
      <c r="R287" s="159"/>
    </row>
    <row r="288" ht="15.75" customHeight="1">
      <c r="R288" s="159"/>
    </row>
    <row r="289" ht="15.75" customHeight="1">
      <c r="R289" s="159"/>
    </row>
    <row r="290" ht="15.75" customHeight="1">
      <c r="R290" s="159"/>
    </row>
    <row r="291" ht="15.75" customHeight="1">
      <c r="R291" s="159"/>
    </row>
    <row r="292" ht="15.75" customHeight="1">
      <c r="R292" s="159"/>
    </row>
    <row r="293" ht="15.75" customHeight="1">
      <c r="R293" s="159"/>
    </row>
    <row r="294" ht="15.75" customHeight="1">
      <c r="R294" s="159"/>
    </row>
    <row r="295" ht="15.75" customHeight="1">
      <c r="R295" s="159"/>
    </row>
    <row r="296" ht="15.75" customHeight="1">
      <c r="R296" s="159"/>
    </row>
    <row r="297" ht="15.75" customHeight="1">
      <c r="R297" s="159"/>
    </row>
    <row r="298" ht="15.75" customHeight="1">
      <c r="R298" s="159"/>
    </row>
    <row r="299" ht="15.75" customHeight="1">
      <c r="R299" s="159"/>
    </row>
    <row r="300" ht="15.75" customHeight="1">
      <c r="R300" s="159"/>
    </row>
    <row r="301" ht="15.75" customHeight="1">
      <c r="R301" s="159"/>
    </row>
    <row r="302" ht="15.75" customHeight="1">
      <c r="R302" s="159"/>
    </row>
    <row r="303" ht="15.75" customHeight="1">
      <c r="R303" s="159"/>
    </row>
    <row r="304" ht="15.75" customHeight="1">
      <c r="R304" s="159"/>
    </row>
    <row r="305" ht="15.75" customHeight="1">
      <c r="R305" s="159"/>
    </row>
    <row r="306" ht="15.75" customHeight="1">
      <c r="R306" s="159"/>
    </row>
    <row r="307" ht="15.75" customHeight="1">
      <c r="R307" s="159"/>
    </row>
    <row r="308" ht="15.75" customHeight="1">
      <c r="R308" s="159"/>
    </row>
    <row r="309" ht="15.75" customHeight="1">
      <c r="R309" s="159"/>
    </row>
    <row r="310" ht="15.75" customHeight="1">
      <c r="R310" s="159"/>
    </row>
    <row r="311" ht="15.75" customHeight="1">
      <c r="R311" s="159"/>
    </row>
    <row r="312" ht="15.75" customHeight="1">
      <c r="R312" s="159"/>
    </row>
    <row r="313" ht="15.75" customHeight="1">
      <c r="R313" s="159"/>
    </row>
    <row r="314" ht="15.75" customHeight="1">
      <c r="R314" s="159"/>
    </row>
    <row r="315" ht="15.75" customHeight="1">
      <c r="R315" s="159"/>
    </row>
    <row r="316" ht="15.75" customHeight="1">
      <c r="R316" s="159"/>
    </row>
    <row r="317" ht="15.75" customHeight="1">
      <c r="R317" s="159"/>
    </row>
    <row r="318" ht="15.75" customHeight="1">
      <c r="R318" s="159"/>
    </row>
    <row r="319" ht="15.75" customHeight="1">
      <c r="R319" s="159"/>
    </row>
    <row r="320" ht="15.75" customHeight="1">
      <c r="R320" s="159"/>
    </row>
    <row r="321" ht="15.75" customHeight="1">
      <c r="R321" s="159"/>
    </row>
    <row r="322" ht="15.75" customHeight="1">
      <c r="R322" s="159"/>
    </row>
    <row r="323" ht="15.75" customHeight="1">
      <c r="R323" s="159"/>
    </row>
    <row r="324" ht="15.75" customHeight="1">
      <c r="R324" s="159"/>
    </row>
    <row r="325" ht="15.75" customHeight="1">
      <c r="R325" s="159"/>
    </row>
    <row r="326" ht="15.75" customHeight="1">
      <c r="R326" s="159"/>
    </row>
    <row r="327" ht="15.75" customHeight="1">
      <c r="R327" s="159"/>
    </row>
    <row r="328" ht="15.75" customHeight="1">
      <c r="R328" s="159"/>
    </row>
    <row r="329" ht="15.75" customHeight="1">
      <c r="R329" s="159"/>
    </row>
    <row r="330" ht="15.75" customHeight="1">
      <c r="R330" s="159"/>
    </row>
    <row r="331" ht="15.75" customHeight="1">
      <c r="R331" s="159"/>
    </row>
    <row r="332" ht="15.75" customHeight="1">
      <c r="R332" s="159"/>
    </row>
    <row r="333" ht="15.75" customHeight="1">
      <c r="R333" s="159"/>
    </row>
    <row r="334" ht="15.75" customHeight="1">
      <c r="R334" s="159"/>
    </row>
    <row r="335" ht="15.75" customHeight="1">
      <c r="R335" s="159"/>
    </row>
    <row r="336" ht="15.75" customHeight="1">
      <c r="R336" s="159"/>
    </row>
    <row r="337" ht="15.75" customHeight="1">
      <c r="R337" s="159"/>
    </row>
    <row r="338" ht="15.75" customHeight="1">
      <c r="R338" s="159"/>
    </row>
    <row r="339" ht="15.75" customHeight="1">
      <c r="R339" s="159"/>
    </row>
    <row r="340" ht="15.75" customHeight="1">
      <c r="R340" s="159"/>
    </row>
    <row r="341" ht="15.75" customHeight="1">
      <c r="R341" s="159"/>
    </row>
    <row r="342" ht="15.75" customHeight="1">
      <c r="R342" s="159"/>
    </row>
    <row r="343" ht="15.75" customHeight="1">
      <c r="R343" s="159"/>
    </row>
    <row r="344" ht="15.75" customHeight="1">
      <c r="R344" s="159"/>
    </row>
    <row r="345" ht="15.75" customHeight="1">
      <c r="R345" s="159"/>
    </row>
    <row r="346" ht="15.75" customHeight="1">
      <c r="R346" s="159"/>
    </row>
    <row r="347" ht="15.75" customHeight="1">
      <c r="R347" s="159"/>
    </row>
    <row r="348" ht="15.75" customHeight="1">
      <c r="R348" s="159"/>
    </row>
    <row r="349" ht="15.75" customHeight="1">
      <c r="R349" s="159"/>
    </row>
    <row r="350" ht="15.75" customHeight="1">
      <c r="R350" s="159"/>
    </row>
    <row r="351" ht="15.75" customHeight="1">
      <c r="R351" s="159"/>
    </row>
    <row r="352" ht="15.75" customHeight="1">
      <c r="R352" s="159"/>
    </row>
    <row r="353" ht="15.75" customHeight="1">
      <c r="R353" s="159"/>
    </row>
    <row r="354" ht="15.75" customHeight="1">
      <c r="R354" s="159"/>
    </row>
    <row r="355" ht="15.75" customHeight="1">
      <c r="R355" s="159"/>
    </row>
    <row r="356" ht="15.75" customHeight="1">
      <c r="R356" s="159"/>
    </row>
    <row r="357" ht="15.75" customHeight="1">
      <c r="R357" s="159"/>
    </row>
    <row r="358" ht="15.75" customHeight="1">
      <c r="R358" s="159"/>
    </row>
    <row r="359" ht="15.75" customHeight="1">
      <c r="R359" s="159"/>
    </row>
    <row r="360" ht="15.75" customHeight="1">
      <c r="R360" s="159"/>
    </row>
    <row r="361" ht="15.75" customHeight="1">
      <c r="R361" s="159"/>
    </row>
    <row r="362" ht="15.75" customHeight="1">
      <c r="R362" s="159"/>
    </row>
    <row r="363" ht="15.75" customHeight="1">
      <c r="R363" s="159"/>
    </row>
    <row r="364" ht="15.75" customHeight="1">
      <c r="R364" s="159"/>
    </row>
    <row r="365" ht="15.75" customHeight="1">
      <c r="R365" s="159"/>
    </row>
    <row r="366" ht="15.75" customHeight="1">
      <c r="R366" s="159"/>
    </row>
    <row r="367" ht="15.75" customHeight="1">
      <c r="R367" s="159"/>
    </row>
    <row r="368" ht="15.75" customHeight="1">
      <c r="R368" s="159"/>
    </row>
    <row r="369" ht="15.75" customHeight="1">
      <c r="R369" s="159"/>
    </row>
    <row r="370" ht="15.75" customHeight="1">
      <c r="R370" s="159"/>
    </row>
    <row r="371" ht="15.75" customHeight="1">
      <c r="R371" s="159"/>
    </row>
    <row r="372" ht="15.75" customHeight="1">
      <c r="R372" s="159"/>
    </row>
    <row r="373" ht="15.75" customHeight="1">
      <c r="R373" s="159"/>
    </row>
    <row r="374" ht="15.75" customHeight="1">
      <c r="R374" s="159"/>
    </row>
    <row r="375" ht="15.75" customHeight="1">
      <c r="R375" s="159"/>
    </row>
    <row r="376" ht="15.75" customHeight="1">
      <c r="R376" s="159"/>
    </row>
    <row r="377" ht="15.75" customHeight="1">
      <c r="R377" s="159"/>
    </row>
    <row r="378" ht="15.75" customHeight="1">
      <c r="R378" s="159"/>
    </row>
    <row r="379" ht="15.75" customHeight="1">
      <c r="R379" s="159"/>
    </row>
    <row r="380" ht="15.75" customHeight="1">
      <c r="R380" s="159"/>
    </row>
    <row r="381" ht="15.75" customHeight="1">
      <c r="R381" s="159"/>
    </row>
    <row r="382" ht="15.75" customHeight="1">
      <c r="R382" s="159"/>
    </row>
    <row r="383" ht="15.75" customHeight="1">
      <c r="R383" s="159"/>
    </row>
    <row r="384" ht="15.75" customHeight="1">
      <c r="R384" s="159"/>
    </row>
    <row r="385" ht="15.75" customHeight="1">
      <c r="R385" s="159"/>
    </row>
    <row r="386" ht="15.75" customHeight="1">
      <c r="R386" s="159"/>
    </row>
    <row r="387" ht="15.75" customHeight="1">
      <c r="R387" s="159"/>
    </row>
    <row r="388" ht="15.75" customHeight="1">
      <c r="R388" s="159"/>
    </row>
    <row r="389" ht="15.75" customHeight="1">
      <c r="R389" s="159"/>
    </row>
    <row r="390" ht="15.75" customHeight="1">
      <c r="R390" s="159"/>
    </row>
    <row r="391" ht="15.75" customHeight="1">
      <c r="R391" s="159"/>
    </row>
    <row r="392" ht="15.75" customHeight="1">
      <c r="R392" s="159"/>
    </row>
    <row r="393" ht="15.75" customHeight="1">
      <c r="R393" s="159"/>
    </row>
    <row r="394" ht="15.75" customHeight="1">
      <c r="R394" s="159"/>
    </row>
    <row r="395" ht="15.75" customHeight="1">
      <c r="R395" s="159"/>
    </row>
    <row r="396" ht="15.75" customHeight="1">
      <c r="R396" s="159"/>
    </row>
    <row r="397" ht="15.75" customHeight="1">
      <c r="R397" s="159"/>
    </row>
    <row r="398" ht="15.75" customHeight="1">
      <c r="R398" s="159"/>
    </row>
    <row r="399" ht="15.75" customHeight="1">
      <c r="R399" s="159"/>
    </row>
    <row r="400" ht="15.75" customHeight="1">
      <c r="R400" s="159"/>
    </row>
    <row r="401" ht="15.75" customHeight="1">
      <c r="R401" s="159"/>
    </row>
    <row r="402" ht="15.75" customHeight="1">
      <c r="R402" s="159"/>
    </row>
    <row r="403" ht="15.75" customHeight="1">
      <c r="R403" s="159"/>
    </row>
    <row r="404" ht="15.75" customHeight="1">
      <c r="R404" s="159"/>
    </row>
    <row r="405" ht="15.75" customHeight="1">
      <c r="R405" s="159"/>
    </row>
    <row r="406" ht="15.75" customHeight="1">
      <c r="R406" s="159"/>
    </row>
    <row r="407" ht="15.75" customHeight="1">
      <c r="R407" s="159"/>
    </row>
    <row r="408" ht="15.75" customHeight="1">
      <c r="R408" s="159"/>
    </row>
    <row r="409" ht="15.75" customHeight="1">
      <c r="R409" s="159"/>
    </row>
    <row r="410" ht="15.75" customHeight="1">
      <c r="R410" s="159"/>
    </row>
    <row r="411" ht="15.75" customHeight="1">
      <c r="R411" s="159"/>
    </row>
    <row r="412" ht="15.75" customHeight="1">
      <c r="R412" s="159"/>
    </row>
    <row r="413" ht="15.75" customHeight="1">
      <c r="R413" s="159"/>
    </row>
    <row r="414" ht="15.75" customHeight="1">
      <c r="R414" s="159"/>
    </row>
    <row r="415" ht="15.75" customHeight="1">
      <c r="R415" s="159"/>
    </row>
    <row r="416" ht="15.75" customHeight="1">
      <c r="R416" s="159"/>
    </row>
    <row r="417" ht="15.75" customHeight="1">
      <c r="R417" s="159"/>
    </row>
    <row r="418" ht="15.75" customHeight="1">
      <c r="R418" s="159"/>
    </row>
    <row r="419" ht="15.75" customHeight="1">
      <c r="R419" s="159"/>
    </row>
    <row r="420" ht="15.75" customHeight="1">
      <c r="R420" s="159"/>
    </row>
    <row r="421" ht="15.75" customHeight="1">
      <c r="R421" s="159"/>
    </row>
    <row r="422" ht="15.75" customHeight="1">
      <c r="R422" s="159"/>
    </row>
    <row r="423" ht="15.75" customHeight="1">
      <c r="R423" s="159"/>
    </row>
    <row r="424" ht="15.75" customHeight="1">
      <c r="R424" s="159"/>
    </row>
    <row r="425" ht="15.75" customHeight="1">
      <c r="R425" s="159"/>
    </row>
    <row r="426" ht="15.75" customHeight="1">
      <c r="R426" s="159"/>
    </row>
    <row r="427" ht="15.75" customHeight="1">
      <c r="R427" s="159"/>
    </row>
    <row r="428" ht="15.75" customHeight="1">
      <c r="R428" s="159"/>
    </row>
    <row r="429" ht="15.75" customHeight="1">
      <c r="R429" s="159"/>
    </row>
    <row r="430" ht="15.75" customHeight="1">
      <c r="R430" s="159"/>
    </row>
    <row r="431" ht="15.75" customHeight="1">
      <c r="R431" s="159"/>
    </row>
    <row r="432" ht="15.75" customHeight="1">
      <c r="R432" s="159"/>
    </row>
    <row r="433" ht="15.75" customHeight="1">
      <c r="R433" s="159"/>
    </row>
    <row r="434" ht="15.75" customHeight="1">
      <c r="R434" s="159"/>
    </row>
    <row r="435" ht="15.75" customHeight="1">
      <c r="R435" s="159"/>
    </row>
    <row r="436" ht="15.75" customHeight="1">
      <c r="R436" s="159"/>
    </row>
    <row r="437" ht="15.75" customHeight="1">
      <c r="R437" s="159"/>
    </row>
    <row r="438" ht="15.75" customHeight="1">
      <c r="R438" s="159"/>
    </row>
    <row r="439" ht="15.75" customHeight="1">
      <c r="R439" s="159"/>
    </row>
    <row r="440" ht="15.75" customHeight="1">
      <c r="R440" s="159"/>
    </row>
    <row r="441" ht="15.75" customHeight="1">
      <c r="R441" s="159"/>
    </row>
    <row r="442" ht="15.75" customHeight="1">
      <c r="R442" s="159"/>
    </row>
    <row r="443" ht="15.75" customHeight="1">
      <c r="R443" s="159"/>
    </row>
    <row r="444" ht="15.75" customHeight="1">
      <c r="R444" s="159"/>
    </row>
    <row r="445" ht="15.75" customHeight="1">
      <c r="R445" s="159"/>
    </row>
    <row r="446" ht="15.75" customHeight="1">
      <c r="R446" s="159"/>
    </row>
    <row r="447" ht="15.75" customHeight="1">
      <c r="R447" s="159"/>
    </row>
    <row r="448" ht="15.75" customHeight="1">
      <c r="R448" s="159"/>
    </row>
    <row r="449" ht="15.75" customHeight="1">
      <c r="R449" s="159"/>
    </row>
    <row r="450" ht="15.75" customHeight="1">
      <c r="R450" s="159"/>
    </row>
    <row r="451" ht="15.75" customHeight="1">
      <c r="R451" s="159"/>
    </row>
    <row r="452" ht="15.75" customHeight="1">
      <c r="R452" s="159"/>
    </row>
    <row r="453" ht="15.75" customHeight="1">
      <c r="R453" s="159"/>
    </row>
    <row r="454" ht="15.75" customHeight="1">
      <c r="R454" s="159"/>
    </row>
    <row r="455" ht="15.75" customHeight="1">
      <c r="R455" s="159"/>
    </row>
    <row r="456" ht="15.75" customHeight="1">
      <c r="R456" s="159"/>
    </row>
    <row r="457" ht="15.75" customHeight="1">
      <c r="R457" s="159"/>
    </row>
    <row r="458" ht="15.75" customHeight="1">
      <c r="R458" s="159"/>
    </row>
    <row r="459" ht="15.75" customHeight="1">
      <c r="R459" s="159"/>
    </row>
    <row r="460" ht="15.75" customHeight="1">
      <c r="R460" s="159"/>
    </row>
    <row r="461" ht="15.75" customHeight="1">
      <c r="R461" s="159"/>
    </row>
    <row r="462" ht="15.75" customHeight="1">
      <c r="R462" s="159"/>
    </row>
    <row r="463" ht="15.75" customHeight="1">
      <c r="R463" s="159"/>
    </row>
    <row r="464" ht="15.75" customHeight="1">
      <c r="R464" s="159"/>
    </row>
    <row r="465" ht="15.75" customHeight="1">
      <c r="R465" s="159"/>
    </row>
    <row r="466" ht="15.75" customHeight="1">
      <c r="R466" s="159"/>
    </row>
    <row r="467" ht="15.75" customHeight="1">
      <c r="R467" s="159"/>
    </row>
    <row r="468" ht="15.75" customHeight="1">
      <c r="R468" s="159"/>
    </row>
    <row r="469" ht="15.75" customHeight="1">
      <c r="R469" s="159"/>
    </row>
    <row r="470" ht="15.75" customHeight="1">
      <c r="R470" s="159"/>
    </row>
    <row r="471" ht="15.75" customHeight="1">
      <c r="R471" s="159"/>
    </row>
    <row r="472" ht="15.75" customHeight="1">
      <c r="R472" s="159"/>
    </row>
    <row r="473" ht="15.75" customHeight="1">
      <c r="R473" s="159"/>
    </row>
    <row r="474" ht="15.75" customHeight="1">
      <c r="R474" s="159"/>
    </row>
    <row r="475" ht="15.75" customHeight="1">
      <c r="R475" s="159"/>
    </row>
    <row r="476" ht="15.75" customHeight="1">
      <c r="R476" s="159"/>
    </row>
    <row r="477" ht="15.75" customHeight="1">
      <c r="R477" s="159"/>
    </row>
    <row r="478" ht="15.75" customHeight="1">
      <c r="R478" s="159"/>
    </row>
    <row r="479" ht="15.75" customHeight="1">
      <c r="R479" s="159"/>
    </row>
    <row r="480" ht="15.75" customHeight="1">
      <c r="R480" s="159"/>
    </row>
    <row r="481" ht="15.75" customHeight="1">
      <c r="R481" s="159"/>
    </row>
    <row r="482" ht="15.75" customHeight="1">
      <c r="R482" s="159"/>
    </row>
    <row r="483" ht="15.75" customHeight="1">
      <c r="R483" s="159"/>
    </row>
    <row r="484" ht="15.75" customHeight="1">
      <c r="R484" s="159"/>
    </row>
    <row r="485" ht="15.75" customHeight="1">
      <c r="R485" s="159"/>
    </row>
    <row r="486" ht="15.75" customHeight="1">
      <c r="R486" s="159"/>
    </row>
    <row r="487" ht="15.75" customHeight="1">
      <c r="R487" s="159"/>
    </row>
    <row r="488" ht="15.75" customHeight="1">
      <c r="R488" s="159"/>
    </row>
    <row r="489" ht="15.75" customHeight="1">
      <c r="R489" s="159"/>
    </row>
    <row r="490" ht="15.75" customHeight="1">
      <c r="R490" s="159"/>
    </row>
    <row r="491" ht="15.75" customHeight="1">
      <c r="R491" s="159"/>
    </row>
    <row r="492" ht="15.75" customHeight="1">
      <c r="R492" s="159"/>
    </row>
    <row r="493" ht="15.75" customHeight="1">
      <c r="R493" s="159"/>
    </row>
    <row r="494" ht="15.75" customHeight="1">
      <c r="R494" s="159"/>
    </row>
    <row r="495" ht="15.75" customHeight="1">
      <c r="R495" s="159"/>
    </row>
    <row r="496" ht="15.75" customHeight="1">
      <c r="R496" s="159"/>
    </row>
    <row r="497" ht="15.75" customHeight="1">
      <c r="R497" s="159"/>
    </row>
    <row r="498" ht="15.75" customHeight="1">
      <c r="R498" s="159"/>
    </row>
    <row r="499" ht="15.75" customHeight="1">
      <c r="R499" s="159"/>
    </row>
    <row r="500" ht="15.75" customHeight="1">
      <c r="R500" s="159"/>
    </row>
    <row r="501" ht="15.75" customHeight="1">
      <c r="R501" s="159"/>
    </row>
    <row r="502" ht="15.75" customHeight="1">
      <c r="R502" s="159"/>
    </row>
    <row r="503" ht="15.75" customHeight="1">
      <c r="R503" s="159"/>
    </row>
    <row r="504" ht="15.75" customHeight="1">
      <c r="R504" s="159"/>
    </row>
    <row r="505" ht="15.75" customHeight="1">
      <c r="R505" s="159"/>
    </row>
    <row r="506" ht="15.75" customHeight="1">
      <c r="R506" s="159"/>
    </row>
    <row r="507" ht="15.75" customHeight="1">
      <c r="R507" s="159"/>
    </row>
    <row r="508" ht="15.75" customHeight="1">
      <c r="R508" s="159"/>
    </row>
    <row r="509" ht="15.75" customHeight="1">
      <c r="R509" s="159"/>
    </row>
    <row r="510" ht="15.75" customHeight="1">
      <c r="R510" s="159"/>
    </row>
    <row r="511" ht="15.75" customHeight="1">
      <c r="R511" s="159"/>
    </row>
    <row r="512" ht="15.75" customHeight="1">
      <c r="R512" s="159"/>
    </row>
    <row r="513" ht="15.75" customHeight="1">
      <c r="R513" s="159"/>
    </row>
    <row r="514" ht="15.75" customHeight="1">
      <c r="R514" s="159"/>
    </row>
    <row r="515" ht="15.75" customHeight="1">
      <c r="R515" s="159"/>
    </row>
    <row r="516" ht="15.75" customHeight="1">
      <c r="R516" s="159"/>
    </row>
    <row r="517" ht="15.75" customHeight="1">
      <c r="R517" s="159"/>
    </row>
    <row r="518" ht="15.75" customHeight="1">
      <c r="R518" s="159"/>
    </row>
    <row r="519" ht="15.75" customHeight="1">
      <c r="R519" s="159"/>
    </row>
    <row r="520" ht="15.75" customHeight="1">
      <c r="R520" s="159"/>
    </row>
    <row r="521" ht="15.75" customHeight="1">
      <c r="R521" s="159"/>
    </row>
    <row r="522" ht="15.75" customHeight="1">
      <c r="R522" s="159"/>
    </row>
    <row r="523" ht="15.75" customHeight="1">
      <c r="R523" s="159"/>
    </row>
    <row r="524" ht="15.75" customHeight="1">
      <c r="R524" s="159"/>
    </row>
    <row r="525" ht="15.75" customHeight="1">
      <c r="R525" s="159"/>
    </row>
    <row r="526" ht="15.75" customHeight="1">
      <c r="R526" s="159"/>
    </row>
    <row r="527" ht="15.75" customHeight="1">
      <c r="R527" s="159"/>
    </row>
    <row r="528" ht="15.75" customHeight="1">
      <c r="R528" s="159"/>
    </row>
    <row r="529" ht="15.75" customHeight="1">
      <c r="R529" s="159"/>
    </row>
    <row r="530" ht="15.75" customHeight="1">
      <c r="R530" s="159"/>
    </row>
    <row r="531" ht="15.75" customHeight="1">
      <c r="R531" s="159"/>
    </row>
    <row r="532" ht="15.75" customHeight="1">
      <c r="R532" s="159"/>
    </row>
    <row r="533" ht="15.75" customHeight="1">
      <c r="R533" s="159"/>
    </row>
    <row r="534" ht="15.75" customHeight="1">
      <c r="R534" s="159"/>
    </row>
    <row r="535" ht="15.75" customHeight="1">
      <c r="R535" s="159"/>
    </row>
    <row r="536" ht="15.75" customHeight="1">
      <c r="R536" s="159"/>
    </row>
    <row r="537" ht="15.75" customHeight="1">
      <c r="R537" s="159"/>
    </row>
    <row r="538" ht="15.75" customHeight="1">
      <c r="R538" s="159"/>
    </row>
    <row r="539" ht="15.75" customHeight="1">
      <c r="R539" s="159"/>
    </row>
    <row r="540" ht="15.75" customHeight="1">
      <c r="R540" s="159"/>
    </row>
    <row r="541" ht="15.75" customHeight="1">
      <c r="R541" s="159"/>
    </row>
    <row r="542" ht="15.75" customHeight="1">
      <c r="R542" s="159"/>
    </row>
    <row r="543" ht="15.75" customHeight="1">
      <c r="R543" s="159"/>
    </row>
    <row r="544" ht="15.75" customHeight="1">
      <c r="R544" s="159"/>
    </row>
    <row r="545" ht="15.75" customHeight="1">
      <c r="R545" s="159"/>
    </row>
    <row r="546" ht="15.75" customHeight="1">
      <c r="R546" s="159"/>
    </row>
    <row r="547" ht="15.75" customHeight="1">
      <c r="R547" s="159"/>
    </row>
    <row r="548" ht="15.75" customHeight="1">
      <c r="R548" s="159"/>
    </row>
    <row r="549" ht="15.75" customHeight="1">
      <c r="R549" s="159"/>
    </row>
    <row r="550" ht="15.75" customHeight="1">
      <c r="R550" s="159"/>
    </row>
    <row r="551" ht="15.75" customHeight="1">
      <c r="R551" s="159"/>
    </row>
    <row r="552" ht="15.75" customHeight="1">
      <c r="R552" s="159"/>
    </row>
    <row r="553" ht="15.75" customHeight="1">
      <c r="R553" s="159"/>
    </row>
    <row r="554" ht="15.75" customHeight="1">
      <c r="R554" s="159"/>
    </row>
    <row r="555" ht="15.75" customHeight="1">
      <c r="R555" s="159"/>
    </row>
    <row r="556" ht="15.75" customHeight="1">
      <c r="R556" s="159"/>
    </row>
    <row r="557" ht="15.75" customHeight="1">
      <c r="R557" s="159"/>
    </row>
    <row r="558" ht="15.75" customHeight="1">
      <c r="R558" s="159"/>
    </row>
    <row r="559" ht="15.75" customHeight="1">
      <c r="R559" s="159"/>
    </row>
    <row r="560" ht="15.75" customHeight="1">
      <c r="R560" s="159"/>
    </row>
    <row r="561" ht="15.75" customHeight="1">
      <c r="R561" s="159"/>
    </row>
    <row r="562" ht="15.75" customHeight="1">
      <c r="R562" s="159"/>
    </row>
    <row r="563" ht="15.75" customHeight="1">
      <c r="R563" s="159"/>
    </row>
    <row r="564" ht="15.75" customHeight="1">
      <c r="R564" s="159"/>
    </row>
    <row r="565" ht="15.75" customHeight="1">
      <c r="R565" s="159"/>
    </row>
    <row r="566" ht="15.75" customHeight="1">
      <c r="R566" s="159"/>
    </row>
    <row r="567" ht="15.75" customHeight="1">
      <c r="R567" s="159"/>
    </row>
    <row r="568" ht="15.75" customHeight="1">
      <c r="R568" s="159"/>
    </row>
    <row r="569" ht="15.75" customHeight="1">
      <c r="R569" s="159"/>
    </row>
    <row r="570" ht="15.75" customHeight="1">
      <c r="R570" s="159"/>
    </row>
    <row r="571" ht="15.75" customHeight="1">
      <c r="R571" s="159"/>
    </row>
    <row r="572" ht="15.75" customHeight="1">
      <c r="R572" s="159"/>
    </row>
    <row r="573" ht="15.75" customHeight="1">
      <c r="R573" s="159"/>
    </row>
    <row r="574" ht="15.75" customHeight="1">
      <c r="R574" s="159"/>
    </row>
    <row r="575" ht="15.75" customHeight="1">
      <c r="R575" s="159"/>
    </row>
    <row r="576" ht="15.75" customHeight="1">
      <c r="R576" s="159"/>
    </row>
    <row r="577" ht="15.75" customHeight="1">
      <c r="R577" s="159"/>
    </row>
    <row r="578" ht="15.75" customHeight="1">
      <c r="R578" s="159"/>
    </row>
    <row r="579" ht="15.75" customHeight="1">
      <c r="R579" s="159"/>
    </row>
    <row r="580" ht="15.75" customHeight="1">
      <c r="R580" s="159"/>
    </row>
    <row r="581" ht="15.75" customHeight="1">
      <c r="R581" s="159"/>
    </row>
    <row r="582" ht="15.75" customHeight="1">
      <c r="R582" s="159"/>
    </row>
    <row r="583" ht="15.75" customHeight="1">
      <c r="R583" s="159"/>
    </row>
    <row r="584" ht="15.75" customHeight="1">
      <c r="R584" s="159"/>
    </row>
    <row r="585" ht="15.75" customHeight="1">
      <c r="R585" s="159"/>
    </row>
    <row r="586" ht="15.75" customHeight="1">
      <c r="R586" s="159"/>
    </row>
    <row r="587" ht="15.75" customHeight="1">
      <c r="R587" s="159"/>
    </row>
    <row r="588" ht="15.75" customHeight="1">
      <c r="R588" s="159"/>
    </row>
    <row r="589" ht="15.75" customHeight="1">
      <c r="R589" s="159"/>
    </row>
    <row r="590" ht="15.75" customHeight="1">
      <c r="R590" s="159"/>
    </row>
    <row r="591" ht="15.75" customHeight="1">
      <c r="R591" s="159"/>
    </row>
    <row r="592" ht="15.75" customHeight="1">
      <c r="R592" s="159"/>
    </row>
    <row r="593" ht="15.75" customHeight="1">
      <c r="R593" s="159"/>
    </row>
    <row r="594" ht="15.75" customHeight="1">
      <c r="R594" s="159"/>
    </row>
    <row r="595" ht="15.75" customHeight="1">
      <c r="R595" s="159"/>
    </row>
    <row r="596" ht="15.75" customHeight="1">
      <c r="R596" s="159"/>
    </row>
    <row r="597" ht="15.75" customHeight="1">
      <c r="R597" s="159"/>
    </row>
    <row r="598" ht="15.75" customHeight="1">
      <c r="R598" s="159"/>
    </row>
    <row r="599" ht="15.75" customHeight="1">
      <c r="R599" s="159"/>
    </row>
    <row r="600" ht="15.75" customHeight="1">
      <c r="R600" s="159"/>
    </row>
    <row r="601" ht="15.75" customHeight="1">
      <c r="R601" s="159"/>
    </row>
    <row r="602" ht="15.75" customHeight="1">
      <c r="R602" s="159"/>
    </row>
    <row r="603" ht="15.75" customHeight="1">
      <c r="R603" s="159"/>
    </row>
    <row r="604" ht="15.75" customHeight="1">
      <c r="R604" s="159"/>
    </row>
    <row r="605" ht="15.75" customHeight="1">
      <c r="R605" s="159"/>
    </row>
    <row r="606" ht="15.75" customHeight="1">
      <c r="R606" s="159"/>
    </row>
    <row r="607" ht="15.75" customHeight="1">
      <c r="R607" s="159"/>
    </row>
    <row r="608" ht="15.75" customHeight="1">
      <c r="R608" s="159"/>
    </row>
    <row r="609" ht="15.75" customHeight="1">
      <c r="R609" s="159"/>
    </row>
    <row r="610" ht="15.75" customHeight="1">
      <c r="R610" s="159"/>
    </row>
    <row r="611" ht="15.75" customHeight="1">
      <c r="R611" s="159"/>
    </row>
    <row r="612" ht="15.75" customHeight="1">
      <c r="R612" s="159"/>
    </row>
    <row r="613" ht="15.75" customHeight="1">
      <c r="R613" s="159"/>
    </row>
    <row r="614" ht="15.75" customHeight="1">
      <c r="R614" s="159"/>
    </row>
    <row r="615" ht="15.75" customHeight="1">
      <c r="R615" s="159"/>
    </row>
    <row r="616" ht="15.75" customHeight="1">
      <c r="R616" s="159"/>
    </row>
    <row r="617" ht="15.75" customHeight="1">
      <c r="R617" s="159"/>
    </row>
    <row r="618" ht="15.75" customHeight="1">
      <c r="R618" s="159"/>
    </row>
    <row r="619" ht="15.75" customHeight="1">
      <c r="R619" s="159"/>
    </row>
    <row r="620" ht="15.75" customHeight="1">
      <c r="R620" s="159"/>
    </row>
    <row r="621" ht="15.75" customHeight="1">
      <c r="R621" s="159"/>
    </row>
    <row r="622" ht="15.75" customHeight="1">
      <c r="R622" s="159"/>
    </row>
    <row r="623" ht="15.75" customHeight="1">
      <c r="R623" s="159"/>
    </row>
    <row r="624" ht="15.75" customHeight="1">
      <c r="R624" s="159"/>
    </row>
    <row r="625" ht="15.75" customHeight="1">
      <c r="R625" s="159"/>
    </row>
    <row r="626" ht="15.75" customHeight="1">
      <c r="R626" s="159"/>
    </row>
    <row r="627" ht="15.75" customHeight="1">
      <c r="R627" s="159"/>
    </row>
    <row r="628" ht="15.75" customHeight="1">
      <c r="R628" s="159"/>
    </row>
    <row r="629" ht="15.75" customHeight="1">
      <c r="R629" s="159"/>
    </row>
    <row r="630" ht="15.75" customHeight="1">
      <c r="R630" s="159"/>
    </row>
    <row r="631" ht="15.75" customHeight="1">
      <c r="R631" s="159"/>
    </row>
    <row r="632" ht="15.75" customHeight="1">
      <c r="R632" s="159"/>
    </row>
    <row r="633" ht="15.75" customHeight="1">
      <c r="R633" s="159"/>
    </row>
    <row r="634" ht="15.75" customHeight="1">
      <c r="R634" s="159"/>
    </row>
    <row r="635" ht="15.75" customHeight="1">
      <c r="R635" s="159"/>
    </row>
    <row r="636" ht="15.75" customHeight="1">
      <c r="R636" s="159"/>
    </row>
    <row r="637" ht="15.75" customHeight="1">
      <c r="R637" s="159"/>
    </row>
    <row r="638" ht="15.75" customHeight="1">
      <c r="R638" s="159"/>
    </row>
    <row r="639" ht="15.75" customHeight="1">
      <c r="R639" s="159"/>
    </row>
    <row r="640" ht="15.75" customHeight="1">
      <c r="R640" s="159"/>
    </row>
    <row r="641" ht="15.75" customHeight="1">
      <c r="R641" s="159"/>
    </row>
    <row r="642" ht="15.75" customHeight="1">
      <c r="R642" s="159"/>
    </row>
    <row r="643" ht="15.75" customHeight="1">
      <c r="R643" s="159"/>
    </row>
    <row r="644" ht="15.75" customHeight="1">
      <c r="R644" s="159"/>
    </row>
    <row r="645" ht="15.75" customHeight="1">
      <c r="R645" s="159"/>
    </row>
    <row r="646" ht="15.75" customHeight="1">
      <c r="R646" s="159"/>
    </row>
    <row r="647" ht="15.75" customHeight="1">
      <c r="R647" s="159"/>
    </row>
    <row r="648" ht="15.75" customHeight="1">
      <c r="R648" s="159"/>
    </row>
    <row r="649" ht="15.75" customHeight="1">
      <c r="R649" s="159"/>
    </row>
    <row r="650" ht="15.75" customHeight="1">
      <c r="R650" s="159"/>
    </row>
    <row r="651" ht="15.75" customHeight="1">
      <c r="R651" s="159"/>
    </row>
    <row r="652" ht="15.75" customHeight="1">
      <c r="R652" s="159"/>
    </row>
    <row r="653" ht="15.75" customHeight="1">
      <c r="R653" s="159"/>
    </row>
    <row r="654" ht="15.75" customHeight="1">
      <c r="R654" s="159"/>
    </row>
    <row r="655" ht="15.75" customHeight="1">
      <c r="R655" s="159"/>
    </row>
    <row r="656" ht="15.75" customHeight="1">
      <c r="R656" s="159"/>
    </row>
    <row r="657" ht="15.75" customHeight="1">
      <c r="R657" s="159"/>
    </row>
    <row r="658" ht="15.75" customHeight="1">
      <c r="R658" s="159"/>
    </row>
    <row r="659" ht="15.75" customHeight="1">
      <c r="R659" s="159"/>
    </row>
    <row r="660" ht="15.75" customHeight="1">
      <c r="R660" s="159"/>
    </row>
    <row r="661" ht="15.75" customHeight="1">
      <c r="R661" s="159"/>
    </row>
    <row r="662" ht="15.75" customHeight="1">
      <c r="R662" s="159"/>
    </row>
    <row r="663" ht="15.75" customHeight="1">
      <c r="R663" s="159"/>
    </row>
    <row r="664" ht="15.75" customHeight="1">
      <c r="R664" s="159"/>
    </row>
    <row r="665" ht="15.75" customHeight="1">
      <c r="R665" s="159"/>
    </row>
    <row r="666" ht="15.75" customHeight="1">
      <c r="R666" s="159"/>
    </row>
    <row r="667" ht="15.75" customHeight="1">
      <c r="R667" s="159"/>
    </row>
    <row r="668" ht="15.75" customHeight="1">
      <c r="R668" s="159"/>
    </row>
    <row r="669" ht="15.75" customHeight="1">
      <c r="R669" s="159"/>
    </row>
    <row r="670" ht="15.75" customHeight="1">
      <c r="R670" s="159"/>
    </row>
    <row r="671" ht="15.75" customHeight="1">
      <c r="R671" s="159"/>
    </row>
    <row r="672" ht="15.75" customHeight="1">
      <c r="R672" s="159"/>
    </row>
    <row r="673" ht="15.75" customHeight="1">
      <c r="R673" s="159"/>
    </row>
    <row r="674" ht="15.75" customHeight="1">
      <c r="R674" s="159"/>
    </row>
    <row r="675" ht="15.75" customHeight="1">
      <c r="R675" s="159"/>
    </row>
    <row r="676" ht="15.75" customHeight="1">
      <c r="R676" s="159"/>
    </row>
    <row r="677" ht="15.75" customHeight="1">
      <c r="R677" s="159"/>
    </row>
    <row r="678" ht="15.75" customHeight="1">
      <c r="R678" s="159"/>
    </row>
    <row r="679" ht="15.75" customHeight="1">
      <c r="R679" s="159"/>
    </row>
    <row r="680" ht="15.75" customHeight="1">
      <c r="R680" s="159"/>
    </row>
    <row r="681" ht="15.75" customHeight="1">
      <c r="R681" s="159"/>
    </row>
    <row r="682" ht="15.75" customHeight="1">
      <c r="R682" s="159"/>
    </row>
    <row r="683" ht="15.75" customHeight="1">
      <c r="R683" s="159"/>
    </row>
    <row r="684" ht="15.75" customHeight="1">
      <c r="R684" s="159"/>
    </row>
    <row r="685" ht="15.75" customHeight="1">
      <c r="R685" s="159"/>
    </row>
    <row r="686" ht="15.75" customHeight="1">
      <c r="R686" s="159"/>
    </row>
    <row r="687" ht="15.75" customHeight="1">
      <c r="R687" s="159"/>
    </row>
    <row r="688" ht="15.75" customHeight="1">
      <c r="R688" s="159"/>
    </row>
    <row r="689" ht="15.75" customHeight="1">
      <c r="R689" s="159"/>
    </row>
    <row r="690" ht="15.75" customHeight="1">
      <c r="R690" s="159"/>
    </row>
    <row r="691" ht="15.75" customHeight="1">
      <c r="R691" s="159"/>
    </row>
    <row r="692" ht="15.75" customHeight="1">
      <c r="R692" s="159"/>
    </row>
    <row r="693" ht="15.75" customHeight="1">
      <c r="R693" s="159"/>
    </row>
    <row r="694" ht="15.75" customHeight="1">
      <c r="R694" s="159"/>
    </row>
    <row r="695" ht="15.75" customHeight="1">
      <c r="R695" s="159"/>
    </row>
    <row r="696" ht="15.75" customHeight="1">
      <c r="R696" s="159"/>
    </row>
    <row r="697" ht="15.75" customHeight="1">
      <c r="R697" s="159"/>
    </row>
    <row r="698" ht="15.75" customHeight="1">
      <c r="R698" s="159"/>
    </row>
    <row r="699" ht="15.75" customHeight="1">
      <c r="R699" s="159"/>
    </row>
    <row r="700" ht="15.75" customHeight="1">
      <c r="R700" s="159"/>
    </row>
    <row r="701" ht="15.75" customHeight="1">
      <c r="R701" s="159"/>
    </row>
    <row r="702" ht="15.75" customHeight="1">
      <c r="R702" s="159"/>
    </row>
    <row r="703" ht="15.75" customHeight="1">
      <c r="R703" s="159"/>
    </row>
    <row r="704" ht="15.75" customHeight="1">
      <c r="R704" s="159"/>
    </row>
    <row r="705" ht="15.75" customHeight="1">
      <c r="R705" s="159"/>
    </row>
    <row r="706" ht="15.75" customHeight="1">
      <c r="R706" s="159"/>
    </row>
    <row r="707" ht="15.75" customHeight="1">
      <c r="R707" s="159"/>
    </row>
    <row r="708" ht="15.75" customHeight="1">
      <c r="R708" s="159"/>
    </row>
    <row r="709" ht="15.75" customHeight="1">
      <c r="R709" s="159"/>
    </row>
    <row r="710" ht="15.75" customHeight="1">
      <c r="R710" s="159"/>
    </row>
    <row r="711" ht="15.75" customHeight="1">
      <c r="R711" s="159"/>
    </row>
    <row r="712" ht="15.75" customHeight="1">
      <c r="R712" s="159"/>
    </row>
    <row r="713" ht="15.75" customHeight="1">
      <c r="R713" s="159"/>
    </row>
    <row r="714" ht="15.75" customHeight="1">
      <c r="R714" s="159"/>
    </row>
    <row r="715" ht="15.75" customHeight="1">
      <c r="R715" s="159"/>
    </row>
    <row r="716" ht="15.75" customHeight="1">
      <c r="R716" s="159"/>
    </row>
    <row r="717" ht="15.75" customHeight="1">
      <c r="R717" s="159"/>
    </row>
    <row r="718" ht="15.75" customHeight="1">
      <c r="R718" s="159"/>
    </row>
    <row r="719" ht="15.75" customHeight="1">
      <c r="R719" s="159"/>
    </row>
    <row r="720" ht="15.75" customHeight="1">
      <c r="R720" s="159"/>
    </row>
    <row r="721" ht="15.75" customHeight="1">
      <c r="R721" s="159"/>
    </row>
    <row r="722" ht="15.75" customHeight="1">
      <c r="R722" s="159"/>
    </row>
    <row r="723" ht="15.75" customHeight="1">
      <c r="R723" s="159"/>
    </row>
    <row r="724" ht="15.75" customHeight="1">
      <c r="R724" s="159"/>
    </row>
    <row r="725" ht="15.75" customHeight="1">
      <c r="R725" s="159"/>
    </row>
    <row r="726" ht="15.75" customHeight="1">
      <c r="R726" s="159"/>
    </row>
    <row r="727" ht="15.75" customHeight="1">
      <c r="R727" s="159"/>
    </row>
    <row r="728" ht="15.75" customHeight="1">
      <c r="R728" s="159"/>
    </row>
    <row r="729" ht="15.75" customHeight="1">
      <c r="R729" s="159"/>
    </row>
    <row r="730" ht="15.75" customHeight="1">
      <c r="R730" s="159"/>
    </row>
    <row r="731" ht="15.75" customHeight="1">
      <c r="R731" s="159"/>
    </row>
    <row r="732" ht="15.75" customHeight="1">
      <c r="R732" s="159"/>
    </row>
    <row r="733" ht="15.75" customHeight="1">
      <c r="R733" s="159"/>
    </row>
    <row r="734" ht="15.75" customHeight="1">
      <c r="R734" s="159"/>
    </row>
    <row r="735" ht="15.75" customHeight="1">
      <c r="R735" s="159"/>
    </row>
    <row r="736" ht="15.75" customHeight="1">
      <c r="R736" s="159"/>
    </row>
    <row r="737" ht="15.75" customHeight="1">
      <c r="R737" s="159"/>
    </row>
    <row r="738" ht="15.75" customHeight="1">
      <c r="R738" s="159"/>
    </row>
    <row r="739" ht="15.75" customHeight="1">
      <c r="R739" s="159"/>
    </row>
    <row r="740" ht="15.75" customHeight="1">
      <c r="R740" s="159"/>
    </row>
    <row r="741" ht="15.75" customHeight="1">
      <c r="R741" s="159"/>
    </row>
    <row r="742" ht="15.75" customHeight="1">
      <c r="R742" s="159"/>
    </row>
    <row r="743" ht="15.75" customHeight="1">
      <c r="R743" s="159"/>
    </row>
    <row r="744" ht="15.75" customHeight="1">
      <c r="R744" s="159"/>
    </row>
    <row r="745" ht="15.75" customHeight="1">
      <c r="R745" s="159"/>
    </row>
    <row r="746" ht="15.75" customHeight="1">
      <c r="R746" s="159"/>
    </row>
    <row r="747" ht="15.75" customHeight="1">
      <c r="R747" s="159"/>
    </row>
    <row r="748" ht="15.75" customHeight="1">
      <c r="R748" s="159"/>
    </row>
    <row r="749" ht="15.75" customHeight="1">
      <c r="R749" s="159"/>
    </row>
    <row r="750" ht="15.75" customHeight="1">
      <c r="R750" s="159"/>
    </row>
    <row r="751" ht="15.75" customHeight="1">
      <c r="R751" s="159"/>
    </row>
    <row r="752" ht="15.75" customHeight="1">
      <c r="R752" s="159"/>
    </row>
    <row r="753" ht="15.75" customHeight="1">
      <c r="R753" s="159"/>
    </row>
    <row r="754" ht="15.75" customHeight="1">
      <c r="R754" s="159"/>
    </row>
    <row r="755" ht="15.75" customHeight="1">
      <c r="R755" s="159"/>
    </row>
    <row r="756" ht="15.75" customHeight="1">
      <c r="R756" s="159"/>
    </row>
    <row r="757" ht="15.75" customHeight="1">
      <c r="R757" s="159"/>
    </row>
    <row r="758" ht="15.75" customHeight="1">
      <c r="R758" s="159"/>
    </row>
    <row r="759" ht="15.75" customHeight="1">
      <c r="R759" s="159"/>
    </row>
    <row r="760" ht="15.75" customHeight="1">
      <c r="R760" s="159"/>
    </row>
    <row r="761" ht="15.75" customHeight="1">
      <c r="R761" s="159"/>
    </row>
    <row r="762" ht="15.75" customHeight="1">
      <c r="R762" s="159"/>
    </row>
    <row r="763" ht="15.75" customHeight="1">
      <c r="R763" s="159"/>
    </row>
    <row r="764" ht="15.75" customHeight="1">
      <c r="R764" s="159"/>
    </row>
    <row r="765" ht="15.75" customHeight="1">
      <c r="R765" s="159"/>
    </row>
    <row r="766" ht="15.75" customHeight="1">
      <c r="R766" s="159"/>
    </row>
    <row r="767" ht="15.75" customHeight="1">
      <c r="R767" s="159"/>
    </row>
    <row r="768" ht="15.75" customHeight="1">
      <c r="R768" s="159"/>
    </row>
    <row r="769" ht="15.75" customHeight="1">
      <c r="R769" s="159"/>
    </row>
    <row r="770" ht="15.75" customHeight="1">
      <c r="R770" s="159"/>
    </row>
    <row r="771" ht="15.75" customHeight="1">
      <c r="R771" s="159"/>
    </row>
    <row r="772" ht="15.75" customHeight="1">
      <c r="R772" s="159"/>
    </row>
    <row r="773" ht="15.75" customHeight="1">
      <c r="R773" s="159"/>
    </row>
    <row r="774" ht="15.75" customHeight="1">
      <c r="R774" s="159"/>
    </row>
    <row r="775" ht="15.75" customHeight="1">
      <c r="R775" s="159"/>
    </row>
    <row r="776" ht="15.75" customHeight="1">
      <c r="R776" s="159"/>
    </row>
    <row r="777" ht="15.75" customHeight="1">
      <c r="R777" s="159"/>
    </row>
    <row r="778" ht="15.75" customHeight="1">
      <c r="R778" s="159"/>
    </row>
    <row r="779" ht="15.75" customHeight="1">
      <c r="R779" s="159"/>
    </row>
    <row r="780" ht="15.75" customHeight="1">
      <c r="R780" s="159"/>
    </row>
    <row r="781" ht="15.75" customHeight="1">
      <c r="R781" s="159"/>
    </row>
    <row r="782" ht="15.75" customHeight="1">
      <c r="R782" s="159"/>
    </row>
    <row r="783" ht="15.75" customHeight="1">
      <c r="R783" s="159"/>
    </row>
    <row r="784" ht="15.75" customHeight="1">
      <c r="R784" s="159"/>
    </row>
    <row r="785" ht="15.75" customHeight="1">
      <c r="R785" s="159"/>
    </row>
    <row r="786" ht="15.75" customHeight="1">
      <c r="R786" s="159"/>
    </row>
    <row r="787" ht="15.75" customHeight="1">
      <c r="R787" s="159"/>
    </row>
    <row r="788" ht="15.75" customHeight="1">
      <c r="R788" s="159"/>
    </row>
    <row r="789" ht="15.75" customHeight="1">
      <c r="R789" s="159"/>
    </row>
    <row r="790" ht="15.75" customHeight="1">
      <c r="R790" s="159"/>
    </row>
    <row r="791" ht="15.75" customHeight="1">
      <c r="R791" s="159"/>
    </row>
    <row r="792" ht="15.75" customHeight="1">
      <c r="R792" s="159"/>
    </row>
    <row r="793" ht="15.75" customHeight="1">
      <c r="R793" s="159"/>
    </row>
    <row r="794" ht="15.75" customHeight="1">
      <c r="R794" s="159"/>
    </row>
    <row r="795" ht="15.75" customHeight="1">
      <c r="R795" s="159"/>
    </row>
    <row r="796" ht="15.75" customHeight="1">
      <c r="R796" s="159"/>
    </row>
    <row r="797" ht="15.75" customHeight="1">
      <c r="R797" s="159"/>
    </row>
    <row r="798" ht="15.75" customHeight="1">
      <c r="R798" s="159"/>
    </row>
    <row r="799" ht="15.75" customHeight="1">
      <c r="R799" s="159"/>
    </row>
    <row r="800" ht="15.75" customHeight="1">
      <c r="R800" s="159"/>
    </row>
    <row r="801" ht="15.75" customHeight="1">
      <c r="R801" s="159"/>
    </row>
    <row r="802" ht="15.75" customHeight="1">
      <c r="R802" s="159"/>
    </row>
    <row r="803" ht="15.75" customHeight="1">
      <c r="R803" s="159"/>
    </row>
    <row r="804" ht="15.75" customHeight="1">
      <c r="R804" s="159"/>
    </row>
    <row r="805" ht="15.75" customHeight="1">
      <c r="R805" s="159"/>
    </row>
    <row r="806" ht="15.75" customHeight="1">
      <c r="R806" s="159"/>
    </row>
    <row r="807" ht="15.75" customHeight="1">
      <c r="R807" s="159"/>
    </row>
    <row r="808" ht="15.75" customHeight="1">
      <c r="R808" s="159"/>
    </row>
    <row r="809" ht="15.75" customHeight="1">
      <c r="R809" s="159"/>
    </row>
    <row r="810" ht="15.75" customHeight="1">
      <c r="R810" s="159"/>
    </row>
    <row r="811" ht="15.75" customHeight="1">
      <c r="R811" s="159"/>
    </row>
    <row r="812" ht="15.75" customHeight="1">
      <c r="R812" s="159"/>
    </row>
    <row r="813" ht="15.75" customHeight="1">
      <c r="R813" s="159"/>
    </row>
    <row r="814" ht="15.75" customHeight="1">
      <c r="R814" s="159"/>
    </row>
    <row r="815" ht="15.75" customHeight="1">
      <c r="R815" s="159"/>
    </row>
    <row r="816" ht="15.75" customHeight="1">
      <c r="R816" s="159"/>
    </row>
    <row r="817" ht="15.75" customHeight="1">
      <c r="R817" s="159"/>
    </row>
    <row r="818" ht="15.75" customHeight="1">
      <c r="R818" s="159"/>
    </row>
    <row r="819" ht="15.75" customHeight="1">
      <c r="R819" s="159"/>
    </row>
    <row r="820" ht="15.75" customHeight="1">
      <c r="R820" s="159"/>
    </row>
    <row r="821" ht="15.75" customHeight="1">
      <c r="R821" s="159"/>
    </row>
    <row r="822" ht="15.75" customHeight="1">
      <c r="R822" s="159"/>
    </row>
    <row r="823" ht="15.75" customHeight="1">
      <c r="R823" s="159"/>
    </row>
    <row r="824" ht="15.75" customHeight="1">
      <c r="R824" s="159"/>
    </row>
    <row r="825" ht="15.75" customHeight="1">
      <c r="R825" s="159"/>
    </row>
    <row r="826" ht="15.75" customHeight="1">
      <c r="R826" s="159"/>
    </row>
    <row r="827" ht="15.75" customHeight="1">
      <c r="R827" s="159"/>
    </row>
    <row r="828" ht="15.75" customHeight="1">
      <c r="R828" s="159"/>
    </row>
    <row r="829" ht="15.75" customHeight="1">
      <c r="R829" s="159"/>
    </row>
    <row r="830" ht="15.75" customHeight="1">
      <c r="R830" s="159"/>
    </row>
    <row r="831" ht="15.75" customHeight="1">
      <c r="R831" s="159"/>
    </row>
    <row r="832" ht="15.75" customHeight="1">
      <c r="R832" s="159"/>
    </row>
    <row r="833" ht="15.75" customHeight="1">
      <c r="R833" s="159"/>
    </row>
    <row r="834" ht="15.75" customHeight="1">
      <c r="R834" s="159"/>
    </row>
    <row r="835" ht="15.75" customHeight="1">
      <c r="R835" s="159"/>
    </row>
    <row r="836" ht="15.75" customHeight="1">
      <c r="R836" s="159"/>
    </row>
    <row r="837" ht="15.75" customHeight="1">
      <c r="R837" s="159"/>
    </row>
    <row r="838" ht="15.75" customHeight="1">
      <c r="R838" s="159"/>
    </row>
    <row r="839" ht="15.75" customHeight="1">
      <c r="R839" s="159"/>
    </row>
    <row r="840" ht="15.75" customHeight="1">
      <c r="R840" s="159"/>
    </row>
    <row r="841" ht="15.75" customHeight="1">
      <c r="R841" s="159"/>
    </row>
    <row r="842" ht="15.75" customHeight="1">
      <c r="R842" s="159"/>
    </row>
    <row r="843" ht="15.75" customHeight="1">
      <c r="R843" s="159"/>
    </row>
    <row r="844" ht="15.75" customHeight="1">
      <c r="R844" s="159"/>
    </row>
    <row r="845" ht="15.75" customHeight="1">
      <c r="R845" s="159"/>
    </row>
    <row r="846" ht="15.75" customHeight="1">
      <c r="R846" s="159"/>
    </row>
    <row r="847" ht="15.75" customHeight="1">
      <c r="R847" s="159"/>
    </row>
    <row r="848" ht="15.75" customHeight="1">
      <c r="R848" s="159"/>
    </row>
    <row r="849" ht="15.75" customHeight="1">
      <c r="R849" s="159"/>
    </row>
    <row r="850" ht="15.75" customHeight="1">
      <c r="R850" s="159"/>
    </row>
    <row r="851" ht="15.75" customHeight="1">
      <c r="R851" s="159"/>
    </row>
    <row r="852" ht="15.75" customHeight="1">
      <c r="R852" s="159"/>
    </row>
    <row r="853" ht="15.75" customHeight="1">
      <c r="R853" s="159"/>
    </row>
    <row r="854" ht="15.75" customHeight="1">
      <c r="R854" s="159"/>
    </row>
    <row r="855" ht="15.75" customHeight="1">
      <c r="R855" s="159"/>
    </row>
    <row r="856" ht="15.75" customHeight="1">
      <c r="R856" s="159"/>
    </row>
    <row r="857" ht="15.75" customHeight="1">
      <c r="R857" s="159"/>
    </row>
    <row r="858" ht="15.75" customHeight="1">
      <c r="R858" s="159"/>
    </row>
    <row r="859" ht="15.75" customHeight="1">
      <c r="R859" s="159"/>
    </row>
    <row r="860" ht="15.75" customHeight="1">
      <c r="R860" s="159"/>
    </row>
    <row r="861" ht="15.75" customHeight="1">
      <c r="R861" s="159"/>
    </row>
    <row r="862" ht="15.75" customHeight="1">
      <c r="R862" s="159"/>
    </row>
    <row r="863" ht="15.75" customHeight="1">
      <c r="R863" s="159"/>
    </row>
    <row r="864" ht="15.75" customHeight="1">
      <c r="R864" s="159"/>
    </row>
    <row r="865" ht="15.75" customHeight="1">
      <c r="R865" s="159"/>
    </row>
    <row r="866" ht="15.75" customHeight="1">
      <c r="R866" s="159"/>
    </row>
    <row r="867" ht="15.75" customHeight="1">
      <c r="R867" s="159"/>
    </row>
    <row r="868" ht="15.75" customHeight="1">
      <c r="R868" s="159"/>
    </row>
    <row r="869" ht="15.75" customHeight="1">
      <c r="R869" s="159"/>
    </row>
    <row r="870" ht="15.75" customHeight="1">
      <c r="R870" s="159"/>
    </row>
    <row r="871" ht="15.75" customHeight="1">
      <c r="R871" s="159"/>
    </row>
    <row r="872" ht="15.75" customHeight="1">
      <c r="R872" s="159"/>
    </row>
    <row r="873" ht="15.75" customHeight="1">
      <c r="R873" s="159"/>
    </row>
    <row r="874" ht="15.75" customHeight="1">
      <c r="R874" s="159"/>
    </row>
    <row r="875" ht="15.75" customHeight="1">
      <c r="R875" s="159"/>
    </row>
    <row r="876" ht="15.75" customHeight="1">
      <c r="R876" s="159"/>
    </row>
    <row r="877" ht="15.75" customHeight="1">
      <c r="R877" s="159"/>
    </row>
    <row r="878" ht="15.75" customHeight="1">
      <c r="R878" s="159"/>
    </row>
    <row r="879" ht="15.75" customHeight="1">
      <c r="R879" s="159"/>
    </row>
    <row r="880" ht="15.75" customHeight="1">
      <c r="R880" s="159"/>
    </row>
    <row r="881" ht="15.75" customHeight="1">
      <c r="R881" s="159"/>
    </row>
    <row r="882" ht="15.75" customHeight="1">
      <c r="R882" s="159"/>
    </row>
    <row r="883" ht="15.75" customHeight="1">
      <c r="R883" s="159"/>
    </row>
    <row r="884" ht="15.75" customHeight="1">
      <c r="R884" s="159"/>
    </row>
    <row r="885" ht="15.75" customHeight="1">
      <c r="R885" s="159"/>
    </row>
    <row r="886" ht="15.75" customHeight="1">
      <c r="R886" s="159"/>
    </row>
    <row r="887" ht="15.75" customHeight="1">
      <c r="R887" s="159"/>
    </row>
    <row r="888" ht="15.75" customHeight="1">
      <c r="R888" s="159"/>
    </row>
    <row r="889" ht="15.75" customHeight="1">
      <c r="R889" s="159"/>
    </row>
    <row r="890" ht="15.75" customHeight="1">
      <c r="R890" s="159"/>
    </row>
    <row r="891" ht="15.75" customHeight="1">
      <c r="R891" s="159"/>
    </row>
    <row r="892" ht="15.75" customHeight="1">
      <c r="R892" s="159"/>
    </row>
    <row r="893" ht="15.75" customHeight="1">
      <c r="R893" s="159"/>
    </row>
    <row r="894" ht="15.75" customHeight="1">
      <c r="R894" s="159"/>
    </row>
    <row r="895" ht="15.75" customHeight="1">
      <c r="R895" s="159"/>
    </row>
    <row r="896" ht="15.75" customHeight="1">
      <c r="R896" s="159"/>
    </row>
    <row r="897" ht="15.75" customHeight="1">
      <c r="R897" s="159"/>
    </row>
    <row r="898" ht="15.75" customHeight="1">
      <c r="R898" s="159"/>
    </row>
    <row r="899" ht="15.75" customHeight="1">
      <c r="R899" s="159"/>
    </row>
    <row r="900" ht="15.75" customHeight="1">
      <c r="R900" s="159"/>
    </row>
    <row r="901" ht="15.75" customHeight="1">
      <c r="R901" s="159"/>
    </row>
    <row r="902" ht="15.75" customHeight="1">
      <c r="R902" s="159"/>
    </row>
    <row r="903" ht="15.75" customHeight="1">
      <c r="R903" s="159"/>
    </row>
    <row r="904" ht="15.75" customHeight="1">
      <c r="R904" s="159"/>
    </row>
    <row r="905" ht="15.75" customHeight="1">
      <c r="R905" s="159"/>
    </row>
    <row r="906" ht="15.75" customHeight="1">
      <c r="R906" s="159"/>
    </row>
    <row r="907" ht="15.75" customHeight="1">
      <c r="R907" s="159"/>
    </row>
    <row r="908" ht="15.75" customHeight="1">
      <c r="R908" s="159"/>
    </row>
    <row r="909" ht="15.75" customHeight="1">
      <c r="R909" s="159"/>
    </row>
    <row r="910" ht="15.75" customHeight="1">
      <c r="R910" s="159"/>
    </row>
    <row r="911" ht="15.75" customHeight="1">
      <c r="R911" s="159"/>
    </row>
    <row r="912" ht="15.75" customHeight="1">
      <c r="R912" s="159"/>
    </row>
    <row r="913" ht="15.75" customHeight="1">
      <c r="R913" s="159"/>
    </row>
    <row r="914" ht="15.75" customHeight="1">
      <c r="R914" s="159"/>
    </row>
    <row r="915" ht="15.75" customHeight="1">
      <c r="R915" s="159"/>
    </row>
    <row r="916" ht="15.75" customHeight="1">
      <c r="R916" s="159"/>
    </row>
    <row r="917" ht="15.75" customHeight="1">
      <c r="R917" s="159"/>
    </row>
    <row r="918" ht="15.75" customHeight="1">
      <c r="R918" s="159"/>
    </row>
    <row r="919" ht="15.75" customHeight="1">
      <c r="R919" s="159"/>
    </row>
    <row r="920" ht="15.75" customHeight="1">
      <c r="R920" s="159"/>
    </row>
    <row r="921" ht="15.75" customHeight="1">
      <c r="R921" s="159"/>
    </row>
    <row r="922" ht="15.75" customHeight="1">
      <c r="R922" s="159"/>
    </row>
    <row r="923" ht="15.75" customHeight="1">
      <c r="R923" s="159"/>
    </row>
    <row r="924" ht="15.75" customHeight="1">
      <c r="R924" s="159"/>
    </row>
    <row r="925" ht="15.75" customHeight="1">
      <c r="R925" s="159"/>
    </row>
    <row r="926" ht="15.75" customHeight="1">
      <c r="R926" s="159"/>
    </row>
    <row r="927" ht="15.75" customHeight="1">
      <c r="R927" s="159"/>
    </row>
    <row r="928" ht="15.75" customHeight="1">
      <c r="R928" s="159"/>
    </row>
    <row r="929" ht="15.75" customHeight="1">
      <c r="R929" s="159"/>
    </row>
    <row r="930" ht="15.75" customHeight="1">
      <c r="R930" s="159"/>
    </row>
    <row r="931" ht="15.75" customHeight="1">
      <c r="R931" s="159"/>
    </row>
    <row r="932" ht="15.75" customHeight="1">
      <c r="R932" s="159"/>
    </row>
    <row r="933" ht="15.75" customHeight="1">
      <c r="R933" s="159"/>
    </row>
    <row r="934" ht="15.75" customHeight="1">
      <c r="R934" s="159"/>
    </row>
    <row r="935" ht="15.75" customHeight="1">
      <c r="R935" s="159"/>
    </row>
    <row r="936" ht="15.75" customHeight="1">
      <c r="R936" s="159"/>
    </row>
    <row r="937" ht="15.75" customHeight="1">
      <c r="R937" s="159"/>
    </row>
    <row r="938" ht="15.75" customHeight="1">
      <c r="R938" s="159"/>
    </row>
    <row r="939" ht="15.75" customHeight="1">
      <c r="R939" s="159"/>
    </row>
    <row r="940" ht="15.75" customHeight="1">
      <c r="R940" s="159"/>
    </row>
    <row r="941" ht="15.75" customHeight="1">
      <c r="R941" s="159"/>
    </row>
    <row r="942" ht="15.75" customHeight="1">
      <c r="R942" s="159"/>
    </row>
    <row r="943" ht="15.75" customHeight="1">
      <c r="R943" s="159"/>
    </row>
    <row r="944" ht="15.75" customHeight="1">
      <c r="R944" s="159"/>
    </row>
    <row r="945" ht="15.75" customHeight="1">
      <c r="R945" s="159"/>
    </row>
    <row r="946" ht="15.75" customHeight="1">
      <c r="R946" s="159"/>
    </row>
    <row r="947" ht="15.75" customHeight="1">
      <c r="R947" s="159"/>
    </row>
    <row r="948" ht="15.75" customHeight="1">
      <c r="R948" s="159"/>
    </row>
    <row r="949" ht="15.75" customHeight="1">
      <c r="R949" s="159"/>
    </row>
    <row r="950" ht="15.75" customHeight="1">
      <c r="R950" s="159"/>
    </row>
    <row r="951" ht="15.75" customHeight="1">
      <c r="R951" s="159"/>
    </row>
    <row r="952" ht="15.75" customHeight="1">
      <c r="R952" s="159"/>
    </row>
    <row r="953" ht="15.75" customHeight="1">
      <c r="R953" s="159"/>
    </row>
    <row r="954" ht="15.75" customHeight="1">
      <c r="R954" s="159"/>
    </row>
    <row r="955" ht="15.75" customHeight="1">
      <c r="R955" s="159"/>
    </row>
    <row r="956" ht="15.75" customHeight="1">
      <c r="R956" s="159"/>
    </row>
    <row r="957" ht="15.75" customHeight="1">
      <c r="R957" s="159"/>
    </row>
    <row r="958" ht="15.75" customHeight="1">
      <c r="R958" s="159"/>
    </row>
    <row r="959" ht="15.75" customHeight="1">
      <c r="R959" s="159"/>
    </row>
    <row r="960" ht="15.75" customHeight="1">
      <c r="R960" s="159"/>
    </row>
    <row r="961" ht="15.75" customHeight="1">
      <c r="R961" s="159"/>
    </row>
    <row r="962" ht="15.75" customHeight="1">
      <c r="R962" s="159"/>
    </row>
    <row r="963" ht="15.75" customHeight="1">
      <c r="R963" s="159"/>
    </row>
    <row r="964" ht="15.75" customHeight="1">
      <c r="R964" s="159"/>
    </row>
    <row r="965" ht="15.75" customHeight="1">
      <c r="R965" s="159"/>
    </row>
    <row r="966" ht="15.75" customHeight="1">
      <c r="R966" s="159"/>
    </row>
    <row r="967" ht="15.75" customHeight="1">
      <c r="R967" s="159"/>
    </row>
    <row r="968" ht="15.75" customHeight="1">
      <c r="R968" s="159"/>
    </row>
    <row r="969" ht="15.75" customHeight="1">
      <c r="R969" s="159"/>
    </row>
    <row r="970" ht="15.75" customHeight="1">
      <c r="R970" s="159"/>
    </row>
    <row r="971" ht="15.75" customHeight="1">
      <c r="R971" s="159"/>
    </row>
    <row r="972" ht="15.75" customHeight="1">
      <c r="R972" s="159"/>
    </row>
    <row r="973" ht="15.75" customHeight="1">
      <c r="R973" s="159"/>
    </row>
    <row r="974" ht="15.75" customHeight="1">
      <c r="R974" s="159"/>
    </row>
    <row r="975" ht="15.75" customHeight="1">
      <c r="R975" s="159"/>
    </row>
    <row r="976" ht="15.75" customHeight="1">
      <c r="R976" s="159"/>
    </row>
    <row r="977" ht="15.75" customHeight="1">
      <c r="R977" s="159"/>
    </row>
    <row r="978" ht="15.75" customHeight="1">
      <c r="R978" s="159"/>
    </row>
    <row r="979" ht="15.75" customHeight="1">
      <c r="R979" s="159"/>
    </row>
    <row r="980" ht="15.75" customHeight="1">
      <c r="R980" s="159"/>
    </row>
    <row r="981" ht="15.75" customHeight="1">
      <c r="R981" s="159"/>
    </row>
    <row r="982" ht="15.75" customHeight="1">
      <c r="R982" s="159"/>
    </row>
    <row r="983" ht="15.75" customHeight="1">
      <c r="R983" s="159"/>
    </row>
    <row r="984" ht="15.75" customHeight="1">
      <c r="R984" s="159"/>
    </row>
    <row r="985" ht="15.75" customHeight="1">
      <c r="R985" s="159"/>
    </row>
    <row r="986" ht="15.75" customHeight="1">
      <c r="R986" s="159"/>
    </row>
    <row r="987" ht="15.75" customHeight="1">
      <c r="R987" s="159"/>
    </row>
    <row r="988" ht="15.75" customHeight="1">
      <c r="R988" s="159"/>
    </row>
    <row r="989" ht="15.75" customHeight="1">
      <c r="R989" s="159"/>
    </row>
    <row r="990" ht="15.75" customHeight="1">
      <c r="R990" s="159"/>
    </row>
    <row r="991" ht="15.75" customHeight="1">
      <c r="R991" s="159"/>
    </row>
    <row r="992" ht="15.75" customHeight="1">
      <c r="R992" s="159"/>
    </row>
    <row r="993" ht="15.75" customHeight="1">
      <c r="R993" s="159"/>
    </row>
    <row r="994" ht="15.75" customHeight="1">
      <c r="R994" s="159"/>
    </row>
    <row r="995" ht="15.75" customHeight="1">
      <c r="R995" s="159"/>
    </row>
    <row r="996" ht="15.75" customHeight="1">
      <c r="R996" s="159"/>
    </row>
    <row r="997" ht="15.75" customHeight="1">
      <c r="R997" s="159"/>
    </row>
    <row r="998" ht="15.75" customHeight="1">
      <c r="R998" s="159"/>
    </row>
    <row r="999" ht="15.75" customHeight="1">
      <c r="R999" s="159"/>
    </row>
    <row r="1000" ht="15.75" customHeight="1">
      <c r="R1000" s="159"/>
    </row>
  </sheetData>
  <mergeCells count="2">
    <mergeCell ref="O1:O2"/>
    <mergeCell ref="Q1:Q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86"/>
    <col customWidth="1" min="3" max="15" width="8.71"/>
    <col customWidth="1" min="16" max="16" width="11.43"/>
    <col customWidth="1" min="17" max="26" width="8.71"/>
  </cols>
  <sheetData>
    <row r="1" ht="42.75" customHeight="1">
      <c r="A1" s="151"/>
      <c r="B1" s="152" t="s">
        <v>139</v>
      </c>
      <c r="C1" s="153" t="s">
        <v>152</v>
      </c>
      <c r="D1" s="153" t="s">
        <v>141</v>
      </c>
      <c r="E1" s="154" t="s">
        <v>142</v>
      </c>
      <c r="F1" s="154" t="s">
        <v>143</v>
      </c>
      <c r="G1" s="154" t="s">
        <v>144</v>
      </c>
      <c r="H1" s="153" t="s">
        <v>145</v>
      </c>
      <c r="I1" s="154" t="s">
        <v>146</v>
      </c>
      <c r="J1" s="155" t="s">
        <v>107</v>
      </c>
      <c r="K1" s="156"/>
      <c r="L1" s="156"/>
      <c r="M1" s="156"/>
      <c r="N1" s="156"/>
      <c r="O1" s="157" t="s">
        <v>147</v>
      </c>
      <c r="Q1" s="158" t="s">
        <v>148</v>
      </c>
    </row>
    <row r="2">
      <c r="A2" s="151"/>
      <c r="B2" s="160"/>
      <c r="C2" s="161">
        <v>1.0</v>
      </c>
      <c r="D2" s="161">
        <v>2.0</v>
      </c>
      <c r="E2" s="161">
        <v>3.0</v>
      </c>
      <c r="F2" s="161">
        <v>4.0</v>
      </c>
      <c r="G2" s="161">
        <v>5.0</v>
      </c>
      <c r="H2" s="161">
        <v>6.0</v>
      </c>
      <c r="I2" s="161">
        <v>7.0</v>
      </c>
      <c r="J2" s="226">
        <v>8.0</v>
      </c>
      <c r="K2" s="162" t="s">
        <v>153</v>
      </c>
      <c r="L2" s="162" t="s">
        <v>154</v>
      </c>
      <c r="M2" s="162" t="s">
        <v>155</v>
      </c>
      <c r="N2" s="162" t="s">
        <v>156</v>
      </c>
      <c r="O2" s="163"/>
      <c r="Q2" s="164"/>
    </row>
    <row r="3">
      <c r="A3" s="165">
        <v>1.0</v>
      </c>
      <c r="B3" s="166" t="s">
        <v>9</v>
      </c>
      <c r="C3" s="168">
        <v>88.0</v>
      </c>
      <c r="D3" s="168">
        <v>81.0</v>
      </c>
      <c r="E3" s="168">
        <v>81.0</v>
      </c>
      <c r="F3" s="168">
        <v>80.0</v>
      </c>
      <c r="G3" s="168">
        <v>81.0</v>
      </c>
      <c r="H3" s="168">
        <v>87.0</v>
      </c>
      <c r="I3" s="198">
        <v>90.0</v>
      </c>
      <c r="J3" s="199">
        <v>86.0</v>
      </c>
      <c r="K3" s="200">
        <v>87.0</v>
      </c>
      <c r="L3" s="201">
        <v>85.0</v>
      </c>
      <c r="M3" s="201"/>
      <c r="N3" s="202"/>
      <c r="O3" s="203">
        <f t="shared" ref="O3:O43" si="1">ROUND(P3,0)</f>
        <v>84</v>
      </c>
      <c r="P3" s="1">
        <f t="shared" ref="P3:P43" si="2">SUM(C3:J3)/8</f>
        <v>84.25</v>
      </c>
      <c r="Q3" s="1">
        <f t="shared" ref="Q3:Q34" si="3">RANK(P3,$P$3:$P$34)</f>
        <v>4</v>
      </c>
    </row>
    <row r="4">
      <c r="A4" s="175">
        <v>2.0</v>
      </c>
      <c r="B4" s="176" t="s">
        <v>12</v>
      </c>
      <c r="C4" s="168">
        <v>86.0</v>
      </c>
      <c r="D4" s="168">
        <v>81.0</v>
      </c>
      <c r="E4" s="168">
        <v>86.0</v>
      </c>
      <c r="F4" s="168">
        <v>85.0</v>
      </c>
      <c r="G4" s="168">
        <v>81.0</v>
      </c>
      <c r="H4" s="168">
        <v>85.0</v>
      </c>
      <c r="I4" s="198">
        <v>88.0</v>
      </c>
      <c r="J4" s="199">
        <v>86.0</v>
      </c>
      <c r="K4" s="200">
        <v>85.0</v>
      </c>
      <c r="L4" s="201">
        <v>86.0</v>
      </c>
      <c r="M4" s="201"/>
      <c r="N4" s="202"/>
      <c r="O4" s="203">
        <f t="shared" si="1"/>
        <v>85</v>
      </c>
      <c r="P4" s="1">
        <f t="shared" si="2"/>
        <v>84.75</v>
      </c>
      <c r="Q4" s="1">
        <f t="shared" si="3"/>
        <v>2</v>
      </c>
    </row>
    <row r="5">
      <c r="A5" s="175">
        <v>3.0</v>
      </c>
      <c r="B5" s="176" t="s">
        <v>13</v>
      </c>
      <c r="C5" s="168">
        <v>85.0</v>
      </c>
      <c r="D5" s="168">
        <v>84.0</v>
      </c>
      <c r="E5" s="168">
        <v>81.0</v>
      </c>
      <c r="F5" s="168">
        <v>81.0</v>
      </c>
      <c r="G5" s="168">
        <v>85.0</v>
      </c>
      <c r="H5" s="168">
        <v>84.0</v>
      </c>
      <c r="I5" s="198">
        <v>85.0</v>
      </c>
      <c r="J5" s="199">
        <v>83.0</v>
      </c>
      <c r="K5" s="200">
        <v>82.0</v>
      </c>
      <c r="L5" s="201">
        <v>83.0</v>
      </c>
      <c r="M5" s="201"/>
      <c r="N5" s="202"/>
      <c r="O5" s="203">
        <f t="shared" si="1"/>
        <v>84</v>
      </c>
      <c r="P5" s="1">
        <f t="shared" si="2"/>
        <v>83.5</v>
      </c>
      <c r="Q5" s="1">
        <f t="shared" si="3"/>
        <v>6</v>
      </c>
    </row>
    <row r="6">
      <c r="A6" s="175">
        <v>4.0</v>
      </c>
      <c r="B6" s="176" t="s">
        <v>14</v>
      </c>
      <c r="C6" s="168">
        <v>87.0</v>
      </c>
      <c r="D6" s="168">
        <v>80.0</v>
      </c>
      <c r="E6" s="168">
        <v>81.0</v>
      </c>
      <c r="F6" s="168">
        <v>81.0</v>
      </c>
      <c r="G6" s="168">
        <v>84.0</v>
      </c>
      <c r="H6" s="168">
        <v>83.0</v>
      </c>
      <c r="I6" s="198">
        <v>88.0</v>
      </c>
      <c r="J6" s="199">
        <v>86.0</v>
      </c>
      <c r="K6" s="200">
        <v>85.0</v>
      </c>
      <c r="L6" s="201">
        <v>86.0</v>
      </c>
      <c r="M6" s="201"/>
      <c r="N6" s="202"/>
      <c r="O6" s="203">
        <f t="shared" si="1"/>
        <v>84</v>
      </c>
      <c r="P6" s="1">
        <f t="shared" si="2"/>
        <v>83.75</v>
      </c>
      <c r="Q6" s="1">
        <f t="shared" si="3"/>
        <v>5</v>
      </c>
    </row>
    <row r="7">
      <c r="A7" s="175">
        <v>5.0</v>
      </c>
      <c r="B7" s="176" t="s">
        <v>15</v>
      </c>
      <c r="C7" s="168">
        <v>88.0</v>
      </c>
      <c r="D7" s="168">
        <v>83.0</v>
      </c>
      <c r="E7" s="168">
        <v>83.0</v>
      </c>
      <c r="F7" s="168">
        <v>81.0</v>
      </c>
      <c r="G7" s="168">
        <v>83.0</v>
      </c>
      <c r="H7" s="168">
        <v>84.0</v>
      </c>
      <c r="I7" s="198">
        <v>87.0</v>
      </c>
      <c r="J7" s="199">
        <v>87.0</v>
      </c>
      <c r="K7" s="200">
        <v>87.0</v>
      </c>
      <c r="L7" s="201">
        <v>87.0</v>
      </c>
      <c r="M7" s="201"/>
      <c r="N7" s="202"/>
      <c r="O7" s="203">
        <f t="shared" si="1"/>
        <v>85</v>
      </c>
      <c r="P7" s="1">
        <f t="shared" si="2"/>
        <v>84.5</v>
      </c>
      <c r="Q7" s="1">
        <f t="shared" si="3"/>
        <v>3</v>
      </c>
    </row>
    <row r="8">
      <c r="A8" s="175">
        <v>6.0</v>
      </c>
      <c r="B8" s="176" t="s">
        <v>16</v>
      </c>
      <c r="C8" s="168">
        <v>86.0</v>
      </c>
      <c r="D8" s="168">
        <v>78.0</v>
      </c>
      <c r="E8" s="168">
        <v>80.0</v>
      </c>
      <c r="F8" s="168">
        <v>80.0</v>
      </c>
      <c r="G8" s="168">
        <v>80.0</v>
      </c>
      <c r="H8" s="168">
        <v>87.0</v>
      </c>
      <c r="I8" s="198">
        <v>86.0</v>
      </c>
      <c r="J8" s="199">
        <v>86.0</v>
      </c>
      <c r="K8" s="200">
        <v>86.0</v>
      </c>
      <c r="L8" s="201">
        <v>86.0</v>
      </c>
      <c r="M8" s="201"/>
      <c r="N8" s="202"/>
      <c r="O8" s="203">
        <f t="shared" si="1"/>
        <v>83</v>
      </c>
      <c r="P8" s="1">
        <f t="shared" si="2"/>
        <v>82.875</v>
      </c>
      <c r="Q8" s="1">
        <f t="shared" si="3"/>
        <v>7</v>
      </c>
    </row>
    <row r="9">
      <c r="A9" s="175">
        <v>7.0</v>
      </c>
      <c r="B9" s="176" t="s">
        <v>17</v>
      </c>
      <c r="C9" s="168">
        <v>92.0</v>
      </c>
      <c r="D9" s="168">
        <v>87.0</v>
      </c>
      <c r="E9" s="168">
        <v>85.0</v>
      </c>
      <c r="F9" s="168">
        <v>85.0</v>
      </c>
      <c r="G9" s="168">
        <v>86.0</v>
      </c>
      <c r="H9" s="168">
        <v>91.0</v>
      </c>
      <c r="I9" s="198">
        <v>91.0</v>
      </c>
      <c r="J9" s="199">
        <v>90.0</v>
      </c>
      <c r="K9" s="200">
        <v>90.0</v>
      </c>
      <c r="L9" s="201">
        <v>90.0</v>
      </c>
      <c r="M9" s="201"/>
      <c r="N9" s="202"/>
      <c r="O9" s="203">
        <f t="shared" si="1"/>
        <v>88</v>
      </c>
      <c r="P9" s="1">
        <f t="shared" si="2"/>
        <v>88.375</v>
      </c>
      <c r="Q9" s="1">
        <f t="shared" si="3"/>
        <v>1</v>
      </c>
    </row>
    <row r="10">
      <c r="A10" s="175">
        <v>8.0</v>
      </c>
      <c r="B10" s="176" t="s">
        <v>18</v>
      </c>
      <c r="C10" s="168" t="s">
        <v>151</v>
      </c>
      <c r="D10" s="168" t="s">
        <v>151</v>
      </c>
      <c r="E10" s="168"/>
      <c r="F10" s="168"/>
      <c r="G10" s="168" t="s">
        <v>151</v>
      </c>
      <c r="H10" s="168" t="s">
        <v>151</v>
      </c>
      <c r="I10" s="198" t="s">
        <v>151</v>
      </c>
      <c r="J10" s="199" t="s">
        <v>151</v>
      </c>
      <c r="K10" s="200" t="s">
        <v>151</v>
      </c>
      <c r="L10" s="201" t="s">
        <v>151</v>
      </c>
      <c r="M10" s="201"/>
      <c r="N10" s="202"/>
      <c r="O10" s="203">
        <f t="shared" si="1"/>
        <v>0</v>
      </c>
      <c r="P10" s="1">
        <f t="shared" si="2"/>
        <v>0</v>
      </c>
      <c r="Q10" s="1">
        <f t="shared" si="3"/>
        <v>10</v>
      </c>
    </row>
    <row r="11">
      <c r="A11" s="175">
        <v>9.0</v>
      </c>
      <c r="B11" s="176" t="s">
        <v>19</v>
      </c>
      <c r="C11" s="168">
        <v>85.0</v>
      </c>
      <c r="D11" s="168">
        <v>80.0</v>
      </c>
      <c r="E11" s="168">
        <v>80.0</v>
      </c>
      <c r="F11" s="168">
        <v>80.0</v>
      </c>
      <c r="G11" s="168">
        <v>82.0</v>
      </c>
      <c r="H11" s="168">
        <v>81.0</v>
      </c>
      <c r="I11" s="198">
        <v>83.0</v>
      </c>
      <c r="J11" s="199">
        <v>81.0</v>
      </c>
      <c r="K11" s="200">
        <v>80.0</v>
      </c>
      <c r="L11" s="201">
        <v>82.0</v>
      </c>
      <c r="M11" s="201"/>
      <c r="N11" s="202"/>
      <c r="O11" s="203">
        <f t="shared" si="1"/>
        <v>82</v>
      </c>
      <c r="P11" s="1">
        <f t="shared" si="2"/>
        <v>81.5</v>
      </c>
      <c r="Q11" s="1">
        <f t="shared" si="3"/>
        <v>8</v>
      </c>
    </row>
    <row r="12">
      <c r="A12" s="175">
        <v>10.0</v>
      </c>
      <c r="B12" s="176" t="s">
        <v>20</v>
      </c>
      <c r="C12" s="168">
        <v>85.0</v>
      </c>
      <c r="D12" s="168">
        <v>78.0</v>
      </c>
      <c r="E12" s="168">
        <v>80.0</v>
      </c>
      <c r="F12" s="168">
        <v>82.0</v>
      </c>
      <c r="G12" s="168">
        <v>81.0</v>
      </c>
      <c r="H12" s="168">
        <v>81.0</v>
      </c>
      <c r="I12" s="198">
        <v>84.0</v>
      </c>
      <c r="J12" s="199">
        <v>80.0</v>
      </c>
      <c r="K12" s="200">
        <v>80.0</v>
      </c>
      <c r="L12" s="201">
        <v>80.0</v>
      </c>
      <c r="M12" s="201"/>
      <c r="N12" s="202"/>
      <c r="O12" s="203">
        <f t="shared" si="1"/>
        <v>81</v>
      </c>
      <c r="P12" s="1">
        <f t="shared" si="2"/>
        <v>81.375</v>
      </c>
      <c r="Q12" s="1">
        <f t="shared" si="3"/>
        <v>9</v>
      </c>
    </row>
    <row r="13">
      <c r="A13" s="175">
        <v>11.0</v>
      </c>
      <c r="B13" s="176"/>
      <c r="C13" s="168"/>
      <c r="D13" s="168"/>
      <c r="E13" s="168"/>
      <c r="F13" s="168"/>
      <c r="G13" s="168"/>
      <c r="H13" s="168"/>
      <c r="I13" s="198"/>
      <c r="J13" s="199"/>
      <c r="K13" s="200"/>
      <c r="L13" s="201"/>
      <c r="M13" s="201"/>
      <c r="N13" s="202"/>
      <c r="O13" s="203">
        <f t="shared" si="1"/>
        <v>0</v>
      </c>
      <c r="P13" s="1">
        <f t="shared" si="2"/>
        <v>0</v>
      </c>
      <c r="Q13" s="1">
        <f t="shared" si="3"/>
        <v>10</v>
      </c>
    </row>
    <row r="14">
      <c r="A14" s="175">
        <v>12.0</v>
      </c>
      <c r="B14" s="176"/>
      <c r="C14" s="168"/>
      <c r="D14" s="168"/>
      <c r="E14" s="168"/>
      <c r="F14" s="168"/>
      <c r="G14" s="168"/>
      <c r="H14" s="168"/>
      <c r="I14" s="198"/>
      <c r="J14" s="199"/>
      <c r="K14" s="200"/>
      <c r="L14" s="201"/>
      <c r="M14" s="201"/>
      <c r="N14" s="202"/>
      <c r="O14" s="203">
        <f t="shared" si="1"/>
        <v>0</v>
      </c>
      <c r="P14" s="1">
        <f t="shared" si="2"/>
        <v>0</v>
      </c>
      <c r="Q14" s="1">
        <f t="shared" si="3"/>
        <v>10</v>
      </c>
    </row>
    <row r="15">
      <c r="A15" s="175">
        <v>13.0</v>
      </c>
      <c r="B15" s="176"/>
      <c r="C15" s="168"/>
      <c r="D15" s="168"/>
      <c r="E15" s="168"/>
      <c r="F15" s="168"/>
      <c r="G15" s="168"/>
      <c r="H15" s="168"/>
      <c r="I15" s="198"/>
      <c r="J15" s="199"/>
      <c r="K15" s="200"/>
      <c r="L15" s="201"/>
      <c r="M15" s="201"/>
      <c r="N15" s="202"/>
      <c r="O15" s="203">
        <f t="shared" si="1"/>
        <v>0</v>
      </c>
      <c r="P15" s="1">
        <f t="shared" si="2"/>
        <v>0</v>
      </c>
      <c r="Q15" s="1">
        <f t="shared" si="3"/>
        <v>10</v>
      </c>
    </row>
    <row r="16">
      <c r="A16" s="175">
        <v>14.0</v>
      </c>
      <c r="B16" s="176"/>
      <c r="C16" s="168"/>
      <c r="D16" s="168"/>
      <c r="E16" s="168"/>
      <c r="F16" s="168"/>
      <c r="G16" s="168"/>
      <c r="H16" s="168"/>
      <c r="I16" s="198"/>
      <c r="J16" s="199"/>
      <c r="K16" s="200"/>
      <c r="L16" s="201"/>
      <c r="M16" s="201"/>
      <c r="N16" s="202"/>
      <c r="O16" s="203">
        <f t="shared" si="1"/>
        <v>0</v>
      </c>
      <c r="P16" s="1">
        <f t="shared" si="2"/>
        <v>0</v>
      </c>
      <c r="Q16" s="1">
        <f t="shared" si="3"/>
        <v>10</v>
      </c>
    </row>
    <row r="17">
      <c r="A17" s="175">
        <v>15.0</v>
      </c>
      <c r="B17" s="178"/>
      <c r="C17" s="168"/>
      <c r="D17" s="168"/>
      <c r="E17" s="168"/>
      <c r="F17" s="168"/>
      <c r="G17" s="168"/>
      <c r="H17" s="168"/>
      <c r="I17" s="198"/>
      <c r="J17" s="199"/>
      <c r="K17" s="200"/>
      <c r="L17" s="201"/>
      <c r="M17" s="201"/>
      <c r="N17" s="202"/>
      <c r="O17" s="203">
        <f t="shared" si="1"/>
        <v>0</v>
      </c>
      <c r="P17" s="1">
        <f t="shared" si="2"/>
        <v>0</v>
      </c>
      <c r="Q17" s="1">
        <f t="shared" si="3"/>
        <v>10</v>
      </c>
    </row>
    <row r="18">
      <c r="A18" s="175">
        <v>16.0</v>
      </c>
      <c r="B18" s="176"/>
      <c r="C18" s="168"/>
      <c r="D18" s="168"/>
      <c r="E18" s="168"/>
      <c r="F18" s="168"/>
      <c r="G18" s="168"/>
      <c r="H18" s="168"/>
      <c r="I18" s="198"/>
      <c r="J18" s="199"/>
      <c r="K18" s="200"/>
      <c r="L18" s="201"/>
      <c r="M18" s="201"/>
      <c r="N18" s="202"/>
      <c r="O18" s="203">
        <f t="shared" si="1"/>
        <v>0</v>
      </c>
      <c r="P18" s="1">
        <f t="shared" si="2"/>
        <v>0</v>
      </c>
      <c r="Q18" s="1">
        <f t="shared" si="3"/>
        <v>10</v>
      </c>
    </row>
    <row r="19">
      <c r="A19" s="175">
        <v>17.0</v>
      </c>
      <c r="B19" s="176"/>
      <c r="C19" s="168"/>
      <c r="D19" s="168"/>
      <c r="E19" s="168"/>
      <c r="F19" s="168"/>
      <c r="G19" s="168"/>
      <c r="H19" s="168"/>
      <c r="I19" s="198"/>
      <c r="J19" s="199"/>
      <c r="K19" s="200"/>
      <c r="L19" s="201"/>
      <c r="M19" s="201"/>
      <c r="N19" s="202"/>
      <c r="O19" s="204">
        <f t="shared" si="1"/>
        <v>0</v>
      </c>
      <c r="P19" s="1">
        <f t="shared" si="2"/>
        <v>0</v>
      </c>
      <c r="Q19" s="1">
        <f t="shared" si="3"/>
        <v>10</v>
      </c>
    </row>
    <row r="20">
      <c r="A20" s="175">
        <v>18.0</v>
      </c>
      <c r="B20" s="176"/>
      <c r="C20" s="168"/>
      <c r="D20" s="168"/>
      <c r="E20" s="168"/>
      <c r="F20" s="168"/>
      <c r="G20" s="168"/>
      <c r="H20" s="168"/>
      <c r="I20" s="198"/>
      <c r="J20" s="199"/>
      <c r="K20" s="200"/>
      <c r="L20" s="201"/>
      <c r="M20" s="201"/>
      <c r="N20" s="202"/>
      <c r="O20" s="203">
        <f t="shared" si="1"/>
        <v>0</v>
      </c>
      <c r="P20" s="1">
        <f t="shared" si="2"/>
        <v>0</v>
      </c>
      <c r="Q20" s="1">
        <f t="shared" si="3"/>
        <v>10</v>
      </c>
    </row>
    <row r="21" ht="15.75" customHeight="1">
      <c r="A21" s="175">
        <v>19.0</v>
      </c>
      <c r="B21" s="179"/>
      <c r="C21" s="168"/>
      <c r="D21" s="168"/>
      <c r="E21" s="168"/>
      <c r="F21" s="168"/>
      <c r="G21" s="168"/>
      <c r="H21" s="168"/>
      <c r="I21" s="198"/>
      <c r="J21" s="199"/>
      <c r="K21" s="200"/>
      <c r="L21" s="201"/>
      <c r="M21" s="201"/>
      <c r="N21" s="202"/>
      <c r="O21" s="203">
        <f t="shared" si="1"/>
        <v>0</v>
      </c>
      <c r="P21" s="1">
        <f t="shared" si="2"/>
        <v>0</v>
      </c>
      <c r="Q21" s="1">
        <f t="shared" si="3"/>
        <v>10</v>
      </c>
    </row>
    <row r="22" ht="15.75" customHeight="1">
      <c r="A22" s="175">
        <v>20.0</v>
      </c>
      <c r="B22" s="179"/>
      <c r="C22" s="168"/>
      <c r="D22" s="168"/>
      <c r="E22" s="168"/>
      <c r="F22" s="168"/>
      <c r="G22" s="168"/>
      <c r="H22" s="168"/>
      <c r="I22" s="198"/>
      <c r="J22" s="199"/>
      <c r="K22" s="200"/>
      <c r="L22" s="201"/>
      <c r="M22" s="201"/>
      <c r="N22" s="202"/>
      <c r="O22" s="203">
        <f t="shared" si="1"/>
        <v>0</v>
      </c>
      <c r="P22" s="1">
        <f t="shared" si="2"/>
        <v>0</v>
      </c>
      <c r="Q22" s="1">
        <f t="shared" si="3"/>
        <v>10</v>
      </c>
    </row>
    <row r="23" ht="15.75" customHeight="1">
      <c r="A23" s="175">
        <v>21.0</v>
      </c>
      <c r="B23" s="179"/>
      <c r="C23" s="168"/>
      <c r="D23" s="168"/>
      <c r="E23" s="168"/>
      <c r="F23" s="168"/>
      <c r="G23" s="168"/>
      <c r="H23" s="168"/>
      <c r="I23" s="198"/>
      <c r="J23" s="199"/>
      <c r="K23" s="200"/>
      <c r="L23" s="201"/>
      <c r="M23" s="201"/>
      <c r="N23" s="202"/>
      <c r="O23" s="203">
        <f t="shared" si="1"/>
        <v>0</v>
      </c>
      <c r="P23" s="1">
        <f t="shared" si="2"/>
        <v>0</v>
      </c>
      <c r="Q23" s="1">
        <f t="shared" si="3"/>
        <v>10</v>
      </c>
      <c r="T23" s="7"/>
    </row>
    <row r="24" ht="15.75" customHeight="1">
      <c r="A24" s="175">
        <v>22.0</v>
      </c>
      <c r="B24" s="179"/>
      <c r="C24" s="205"/>
      <c r="D24" s="205"/>
      <c r="E24" s="205"/>
      <c r="F24" s="205"/>
      <c r="G24" s="205"/>
      <c r="H24" s="205"/>
      <c r="I24" s="206"/>
      <c r="J24" s="199"/>
      <c r="K24" s="207"/>
      <c r="L24" s="208"/>
      <c r="M24" s="208"/>
      <c r="N24" s="209"/>
      <c r="O24" s="210">
        <f t="shared" si="1"/>
        <v>0</v>
      </c>
      <c r="P24" s="1">
        <f t="shared" si="2"/>
        <v>0</v>
      </c>
      <c r="Q24" s="1">
        <f t="shared" si="3"/>
        <v>10</v>
      </c>
      <c r="T24" s="7"/>
    </row>
    <row r="25" ht="15.75" customHeight="1">
      <c r="A25" s="175">
        <v>23.0</v>
      </c>
      <c r="B25" s="180"/>
      <c r="C25" s="211"/>
      <c r="D25" s="211"/>
      <c r="E25" s="211"/>
      <c r="F25" s="211"/>
      <c r="G25" s="211"/>
      <c r="H25" s="211"/>
      <c r="I25" s="211"/>
      <c r="J25" s="211"/>
      <c r="K25" s="212"/>
      <c r="L25" s="212"/>
      <c r="M25" s="212"/>
      <c r="N25" s="212"/>
      <c r="O25" s="174">
        <f t="shared" si="1"/>
        <v>0</v>
      </c>
      <c r="P25" s="1">
        <f t="shared" si="2"/>
        <v>0</v>
      </c>
      <c r="Q25" s="1">
        <f t="shared" si="3"/>
        <v>10</v>
      </c>
      <c r="T25" s="7"/>
    </row>
    <row r="26" ht="15.75" customHeight="1">
      <c r="A26" s="175">
        <v>24.0</v>
      </c>
      <c r="B26" s="180"/>
      <c r="C26" s="211"/>
      <c r="D26" s="211"/>
      <c r="E26" s="211"/>
      <c r="F26" s="211"/>
      <c r="G26" s="211"/>
      <c r="H26" s="211"/>
      <c r="I26" s="211"/>
      <c r="J26" s="211"/>
      <c r="K26" s="212"/>
      <c r="L26" s="212"/>
      <c r="M26" s="212"/>
      <c r="N26" s="212"/>
      <c r="O26" s="174">
        <f t="shared" si="1"/>
        <v>0</v>
      </c>
      <c r="P26" s="1">
        <f t="shared" si="2"/>
        <v>0</v>
      </c>
      <c r="Q26" s="1">
        <f t="shared" si="3"/>
        <v>10</v>
      </c>
      <c r="T26" s="7"/>
    </row>
    <row r="27" ht="15.75" customHeight="1">
      <c r="A27" s="175">
        <v>25.0</v>
      </c>
      <c r="B27" s="180"/>
      <c r="C27" s="211"/>
      <c r="D27" s="211"/>
      <c r="E27" s="211"/>
      <c r="F27" s="211"/>
      <c r="G27" s="211"/>
      <c r="H27" s="211"/>
      <c r="I27" s="211"/>
      <c r="J27" s="211"/>
      <c r="K27" s="212"/>
      <c r="L27" s="212"/>
      <c r="M27" s="212"/>
      <c r="N27" s="212"/>
      <c r="O27" s="174">
        <f t="shared" si="1"/>
        <v>0</v>
      </c>
      <c r="P27" s="1">
        <f t="shared" si="2"/>
        <v>0</v>
      </c>
      <c r="Q27" s="1">
        <f t="shared" si="3"/>
        <v>10</v>
      </c>
      <c r="T27" s="7"/>
    </row>
    <row r="28" ht="15.75" customHeight="1">
      <c r="A28" s="175">
        <v>26.0</v>
      </c>
      <c r="B28" s="184"/>
      <c r="C28" s="211"/>
      <c r="D28" s="211"/>
      <c r="E28" s="211"/>
      <c r="F28" s="211"/>
      <c r="G28" s="211"/>
      <c r="H28" s="211"/>
      <c r="I28" s="211"/>
      <c r="J28" s="211"/>
      <c r="K28" s="212"/>
      <c r="L28" s="212"/>
      <c r="M28" s="212"/>
      <c r="N28" s="212"/>
      <c r="O28" s="174">
        <f t="shared" si="1"/>
        <v>0</v>
      </c>
      <c r="P28" s="1">
        <f t="shared" si="2"/>
        <v>0</v>
      </c>
      <c r="Q28" s="1">
        <f t="shared" si="3"/>
        <v>10</v>
      </c>
      <c r="T28" s="7"/>
    </row>
    <row r="29" ht="15.75" customHeight="1">
      <c r="A29" s="175">
        <v>27.0</v>
      </c>
      <c r="B29" s="184"/>
      <c r="C29" s="211"/>
      <c r="D29" s="211"/>
      <c r="E29" s="211"/>
      <c r="F29" s="211"/>
      <c r="G29" s="211"/>
      <c r="H29" s="211"/>
      <c r="I29" s="211"/>
      <c r="J29" s="211"/>
      <c r="K29" s="212"/>
      <c r="L29" s="212"/>
      <c r="M29" s="212"/>
      <c r="N29" s="212"/>
      <c r="O29" s="174">
        <f t="shared" si="1"/>
        <v>0</v>
      </c>
      <c r="P29" s="1">
        <f t="shared" si="2"/>
        <v>0</v>
      </c>
      <c r="Q29" s="1">
        <f t="shared" si="3"/>
        <v>10</v>
      </c>
      <c r="T29" s="7"/>
    </row>
    <row r="30" ht="15.75" customHeight="1">
      <c r="A30" s="175">
        <v>28.0</v>
      </c>
      <c r="B30" s="180"/>
      <c r="C30" s="211"/>
      <c r="D30" s="211"/>
      <c r="E30" s="211"/>
      <c r="F30" s="211"/>
      <c r="G30" s="211"/>
      <c r="H30" s="211"/>
      <c r="I30" s="211"/>
      <c r="J30" s="211"/>
      <c r="K30" s="212"/>
      <c r="L30" s="212"/>
      <c r="M30" s="212"/>
      <c r="N30" s="212"/>
      <c r="O30" s="174">
        <f t="shared" si="1"/>
        <v>0</v>
      </c>
      <c r="P30" s="1">
        <f t="shared" si="2"/>
        <v>0</v>
      </c>
      <c r="Q30" s="1">
        <f t="shared" si="3"/>
        <v>10</v>
      </c>
      <c r="T30" s="7"/>
    </row>
    <row r="31" ht="15.75" customHeight="1">
      <c r="A31" s="175">
        <v>29.0</v>
      </c>
      <c r="B31" s="180"/>
      <c r="C31" s="211"/>
      <c r="D31" s="211"/>
      <c r="E31" s="211"/>
      <c r="F31" s="211"/>
      <c r="G31" s="211"/>
      <c r="H31" s="211"/>
      <c r="I31" s="213"/>
      <c r="J31" s="211"/>
      <c r="K31" s="212"/>
      <c r="L31" s="212"/>
      <c r="M31" s="212"/>
      <c r="N31" s="212"/>
      <c r="O31" s="174">
        <f t="shared" si="1"/>
        <v>0</v>
      </c>
      <c r="P31" s="1">
        <f t="shared" si="2"/>
        <v>0</v>
      </c>
      <c r="Q31" s="1">
        <f t="shared" si="3"/>
        <v>10</v>
      </c>
      <c r="T31" s="7"/>
    </row>
    <row r="32" ht="15.75" customHeight="1">
      <c r="A32" s="175">
        <v>30.0</v>
      </c>
      <c r="B32" s="180"/>
      <c r="C32" s="211"/>
      <c r="D32" s="211"/>
      <c r="E32" s="211"/>
      <c r="F32" s="211"/>
      <c r="G32" s="211"/>
      <c r="H32" s="211"/>
      <c r="I32" s="213"/>
      <c r="J32" s="211"/>
      <c r="K32" s="212"/>
      <c r="L32" s="212"/>
      <c r="M32" s="212"/>
      <c r="N32" s="212"/>
      <c r="O32" s="214">
        <f t="shared" si="1"/>
        <v>0</v>
      </c>
      <c r="P32" s="1">
        <f t="shared" si="2"/>
        <v>0</v>
      </c>
      <c r="Q32" s="1">
        <f t="shared" si="3"/>
        <v>10</v>
      </c>
      <c r="T32" s="7"/>
    </row>
    <row r="33" ht="15.75" customHeight="1">
      <c r="A33" s="175">
        <v>31.0</v>
      </c>
      <c r="B33" s="180"/>
      <c r="C33" s="211"/>
      <c r="D33" s="211"/>
      <c r="E33" s="211"/>
      <c r="F33" s="211"/>
      <c r="G33" s="211"/>
      <c r="H33" s="211"/>
      <c r="I33" s="213"/>
      <c r="J33" s="211"/>
      <c r="K33" s="212"/>
      <c r="L33" s="212"/>
      <c r="M33" s="212"/>
      <c r="N33" s="212"/>
      <c r="O33" s="214">
        <f t="shared" si="1"/>
        <v>0</v>
      </c>
      <c r="P33" s="1">
        <f t="shared" si="2"/>
        <v>0</v>
      </c>
      <c r="Q33" s="1">
        <f t="shared" si="3"/>
        <v>10</v>
      </c>
      <c r="T33" s="7"/>
    </row>
    <row r="34" ht="15.75" customHeight="1">
      <c r="A34" s="175">
        <v>32.0</v>
      </c>
      <c r="B34" s="180"/>
      <c r="C34" s="211"/>
      <c r="D34" s="213"/>
      <c r="E34" s="213"/>
      <c r="F34" s="211"/>
      <c r="G34" s="211"/>
      <c r="H34" s="211"/>
      <c r="I34" s="213"/>
      <c r="J34" s="211"/>
      <c r="K34" s="212"/>
      <c r="L34" s="212"/>
      <c r="M34" s="212"/>
      <c r="N34" s="212"/>
      <c r="O34" s="174">
        <f t="shared" si="1"/>
        <v>0</v>
      </c>
      <c r="P34" s="1">
        <f t="shared" si="2"/>
        <v>0</v>
      </c>
      <c r="Q34" s="1">
        <f t="shared" si="3"/>
        <v>10</v>
      </c>
      <c r="T34" s="7"/>
    </row>
    <row r="35" ht="15.75" customHeight="1">
      <c r="A35" s="175">
        <v>33.0</v>
      </c>
      <c r="B35" s="184"/>
      <c r="C35" s="211"/>
      <c r="D35" s="213"/>
      <c r="E35" s="213"/>
      <c r="F35" s="211"/>
      <c r="G35" s="211"/>
      <c r="H35" s="211"/>
      <c r="I35" s="213"/>
      <c r="J35" s="211"/>
      <c r="K35" s="212"/>
      <c r="L35" s="212"/>
      <c r="M35" s="212"/>
      <c r="N35" s="212"/>
      <c r="O35" s="214">
        <f t="shared" si="1"/>
        <v>0</v>
      </c>
      <c r="P35" s="1">
        <f t="shared" si="2"/>
        <v>0</v>
      </c>
      <c r="Q35" s="1">
        <f>RANK(P35,$P$3:$P$35)</f>
        <v>10</v>
      </c>
      <c r="T35" s="7"/>
    </row>
    <row r="36" ht="15.75" customHeight="1">
      <c r="A36" s="175">
        <v>34.0</v>
      </c>
      <c r="B36" s="188"/>
      <c r="C36" s="213"/>
      <c r="D36" s="213"/>
      <c r="E36" s="213"/>
      <c r="F36" s="213"/>
      <c r="G36" s="213"/>
      <c r="H36" s="213"/>
      <c r="I36" s="213"/>
      <c r="J36" s="211"/>
      <c r="K36" s="215"/>
      <c r="L36" s="215"/>
      <c r="M36" s="215"/>
      <c r="N36" s="215"/>
      <c r="O36" s="174">
        <f t="shared" si="1"/>
        <v>0</v>
      </c>
      <c r="P36" s="1">
        <f t="shared" si="2"/>
        <v>0</v>
      </c>
      <c r="Q36" s="1">
        <f t="shared" ref="Q36:Q43" si="4">RANK(P36,$P$3:$P$43)</f>
        <v>10</v>
      </c>
      <c r="T36" s="7"/>
    </row>
    <row r="37" ht="15.75" customHeight="1">
      <c r="A37" s="175">
        <v>35.0</v>
      </c>
      <c r="B37" s="184"/>
      <c r="C37" s="213"/>
      <c r="D37" s="213"/>
      <c r="E37" s="213"/>
      <c r="F37" s="213"/>
      <c r="G37" s="213"/>
      <c r="H37" s="213"/>
      <c r="I37" s="213"/>
      <c r="J37" s="211"/>
      <c r="K37" s="215"/>
      <c r="L37" s="215"/>
      <c r="M37" s="215"/>
      <c r="N37" s="215"/>
      <c r="O37" s="174">
        <f t="shared" si="1"/>
        <v>0</v>
      </c>
      <c r="P37" s="1">
        <f t="shared" si="2"/>
        <v>0</v>
      </c>
      <c r="Q37" s="1">
        <f t="shared" si="4"/>
        <v>10</v>
      </c>
    </row>
    <row r="38" ht="15.75" customHeight="1">
      <c r="A38" s="175">
        <v>36.0</v>
      </c>
      <c r="B38" s="184"/>
      <c r="C38" s="213"/>
      <c r="D38" s="213"/>
      <c r="E38" s="213"/>
      <c r="F38" s="213"/>
      <c r="G38" s="213"/>
      <c r="H38" s="213"/>
      <c r="I38" s="213"/>
      <c r="J38" s="211"/>
      <c r="K38" s="215"/>
      <c r="L38" s="215"/>
      <c r="M38" s="215"/>
      <c r="N38" s="215"/>
      <c r="O38" s="174">
        <f t="shared" si="1"/>
        <v>0</v>
      </c>
      <c r="P38" s="1">
        <f t="shared" si="2"/>
        <v>0</v>
      </c>
      <c r="Q38" s="1">
        <f t="shared" si="4"/>
        <v>10</v>
      </c>
    </row>
    <row r="39" ht="15.75" customHeight="1">
      <c r="A39" s="175">
        <v>37.0</v>
      </c>
      <c r="B39" s="184"/>
      <c r="C39" s="213"/>
      <c r="D39" s="213"/>
      <c r="E39" s="213"/>
      <c r="F39" s="213"/>
      <c r="G39" s="213"/>
      <c r="H39" s="213"/>
      <c r="I39" s="213"/>
      <c r="J39" s="211"/>
      <c r="K39" s="215"/>
      <c r="L39" s="215"/>
      <c r="M39" s="215"/>
      <c r="N39" s="215"/>
      <c r="O39" s="174">
        <f t="shared" si="1"/>
        <v>0</v>
      </c>
      <c r="P39" s="1">
        <f t="shared" si="2"/>
        <v>0</v>
      </c>
      <c r="Q39" s="1">
        <f t="shared" si="4"/>
        <v>10</v>
      </c>
    </row>
    <row r="40" ht="15.75" customHeight="1">
      <c r="A40" s="175">
        <v>38.0</v>
      </c>
      <c r="B40" s="184"/>
      <c r="C40" s="213"/>
      <c r="D40" s="213"/>
      <c r="E40" s="213"/>
      <c r="F40" s="213"/>
      <c r="G40" s="213"/>
      <c r="H40" s="213"/>
      <c r="I40" s="213"/>
      <c r="J40" s="211"/>
      <c r="K40" s="215"/>
      <c r="L40" s="215"/>
      <c r="M40" s="215"/>
      <c r="N40" s="215"/>
      <c r="O40" s="174">
        <f t="shared" si="1"/>
        <v>0</v>
      </c>
      <c r="P40" s="1">
        <f t="shared" si="2"/>
        <v>0</v>
      </c>
      <c r="Q40" s="1">
        <f t="shared" si="4"/>
        <v>10</v>
      </c>
    </row>
    <row r="41" ht="15.75" customHeight="1">
      <c r="A41" s="175">
        <v>39.0</v>
      </c>
      <c r="B41" s="184"/>
      <c r="C41" s="213"/>
      <c r="D41" s="213"/>
      <c r="E41" s="213"/>
      <c r="F41" s="213"/>
      <c r="G41" s="213"/>
      <c r="H41" s="213"/>
      <c r="I41" s="213"/>
      <c r="J41" s="211"/>
      <c r="K41" s="215"/>
      <c r="L41" s="215"/>
      <c r="M41" s="215"/>
      <c r="N41" s="215"/>
      <c r="O41" s="174">
        <f t="shared" si="1"/>
        <v>0</v>
      </c>
      <c r="P41" s="1">
        <f t="shared" si="2"/>
        <v>0</v>
      </c>
      <c r="Q41" s="1">
        <f t="shared" si="4"/>
        <v>10</v>
      </c>
    </row>
    <row r="42" ht="15.75" customHeight="1">
      <c r="A42" s="175">
        <v>40.0</v>
      </c>
      <c r="B42" s="193"/>
      <c r="C42" s="213"/>
      <c r="D42" s="213"/>
      <c r="E42" s="213"/>
      <c r="F42" s="213"/>
      <c r="G42" s="213"/>
      <c r="H42" s="213"/>
      <c r="I42" s="213"/>
      <c r="J42" s="211"/>
      <c r="K42" s="215"/>
      <c r="L42" s="215"/>
      <c r="M42" s="215"/>
      <c r="N42" s="215"/>
      <c r="O42" s="174">
        <f t="shared" si="1"/>
        <v>0</v>
      </c>
      <c r="P42" s="1">
        <f t="shared" si="2"/>
        <v>0</v>
      </c>
      <c r="Q42" s="1">
        <f t="shared" si="4"/>
        <v>10</v>
      </c>
    </row>
    <row r="43" ht="15.75" customHeight="1">
      <c r="A43" s="175">
        <v>41.0</v>
      </c>
      <c r="B43" s="193"/>
      <c r="C43" s="213"/>
      <c r="D43" s="213"/>
      <c r="E43" s="213"/>
      <c r="F43" s="213"/>
      <c r="G43" s="213"/>
      <c r="H43" s="213"/>
      <c r="I43" s="213"/>
      <c r="J43" s="211"/>
      <c r="K43" s="215"/>
      <c r="L43" s="215"/>
      <c r="M43" s="215"/>
      <c r="N43" s="215"/>
      <c r="O43" s="174">
        <f t="shared" si="1"/>
        <v>0</v>
      </c>
      <c r="P43" s="1">
        <f t="shared" si="2"/>
        <v>0</v>
      </c>
      <c r="Q43" s="1">
        <f t="shared" si="4"/>
        <v>10</v>
      </c>
    </row>
    <row r="44" ht="15.75" customHeight="1">
      <c r="A44" s="194"/>
      <c r="C44" s="1" t="s">
        <v>151</v>
      </c>
      <c r="E44" s="1" t="s">
        <v>151</v>
      </c>
      <c r="H44" s="1" t="s">
        <v>151</v>
      </c>
      <c r="O44" s="10"/>
    </row>
    <row r="45" ht="15.75" customHeight="1">
      <c r="A45" s="194"/>
      <c r="C45" s="1" t="s">
        <v>151</v>
      </c>
      <c r="E45" s="1" t="s">
        <v>151</v>
      </c>
      <c r="H45" s="1" t="s">
        <v>151</v>
      </c>
      <c r="O45" s="10"/>
    </row>
    <row r="46" ht="15.75" customHeight="1">
      <c r="A46" s="194"/>
      <c r="C46" s="1" t="s">
        <v>151</v>
      </c>
      <c r="E46" s="1" t="s">
        <v>151</v>
      </c>
      <c r="H46" s="1" t="s">
        <v>151</v>
      </c>
      <c r="O46" s="10"/>
    </row>
    <row r="47" ht="15.75" customHeight="1">
      <c r="A47" s="194"/>
      <c r="C47" s="1" t="s">
        <v>151</v>
      </c>
      <c r="E47" s="1" t="s">
        <v>151</v>
      </c>
      <c r="H47" s="1" t="s">
        <v>151</v>
      </c>
      <c r="O47" s="10"/>
    </row>
    <row r="48" ht="15.75" customHeight="1">
      <c r="A48" s="194"/>
      <c r="C48" s="1" t="s">
        <v>151</v>
      </c>
      <c r="E48" s="1" t="s">
        <v>151</v>
      </c>
      <c r="H48" s="1" t="s">
        <v>151</v>
      </c>
      <c r="O48" s="10"/>
    </row>
    <row r="49" ht="15.75" customHeight="1">
      <c r="A49" s="194"/>
      <c r="C49" s="1" t="s">
        <v>151</v>
      </c>
      <c r="E49" s="1" t="s">
        <v>151</v>
      </c>
      <c r="H49" s="1" t="s">
        <v>151</v>
      </c>
      <c r="O49" s="10"/>
    </row>
    <row r="50" ht="15.75" customHeight="1">
      <c r="A50" s="194"/>
      <c r="C50" s="1" t="s">
        <v>151</v>
      </c>
      <c r="E50" s="1" t="s">
        <v>151</v>
      </c>
      <c r="H50" s="1" t="s">
        <v>151</v>
      </c>
      <c r="O50" s="10"/>
    </row>
    <row r="51" ht="15.75" customHeight="1">
      <c r="A51" s="194"/>
      <c r="C51" s="1" t="s">
        <v>151</v>
      </c>
      <c r="E51" s="1" t="s">
        <v>151</v>
      </c>
      <c r="H51" s="1" t="s">
        <v>151</v>
      </c>
      <c r="O51" s="10"/>
    </row>
    <row r="52" ht="15.75" customHeight="1">
      <c r="A52" s="194"/>
      <c r="C52" s="1" t="s">
        <v>151</v>
      </c>
      <c r="E52" s="1" t="s">
        <v>151</v>
      </c>
      <c r="H52" s="1" t="s">
        <v>151</v>
      </c>
      <c r="O52" s="10"/>
    </row>
    <row r="53" ht="15.75" customHeight="1">
      <c r="A53" s="195"/>
      <c r="B53" s="196"/>
      <c r="C53" s="196" t="s">
        <v>151</v>
      </c>
      <c r="D53" s="196"/>
      <c r="E53" s="196" t="s">
        <v>151</v>
      </c>
      <c r="F53" s="196"/>
      <c r="G53" s="196"/>
      <c r="H53" s="196" t="s">
        <v>151</v>
      </c>
      <c r="I53" s="196"/>
      <c r="J53" s="196"/>
      <c r="K53" s="196"/>
      <c r="L53" s="196"/>
      <c r="M53" s="196"/>
      <c r="N53" s="196"/>
      <c r="O53" s="197"/>
    </row>
    <row r="54" ht="15.75" customHeight="1">
      <c r="C54" s="1" t="s">
        <v>151</v>
      </c>
      <c r="E54" s="1" t="s">
        <v>151</v>
      </c>
    </row>
    <row r="55" ht="15.75" customHeight="1">
      <c r="C55" s="1" t="s">
        <v>151</v>
      </c>
      <c r="E55" s="1" t="s">
        <v>151</v>
      </c>
    </row>
    <row r="56" ht="15.75" customHeight="1">
      <c r="C56" s="1" t="s">
        <v>151</v>
      </c>
      <c r="E56" s="1" t="s">
        <v>151</v>
      </c>
    </row>
    <row r="57" ht="15.75" customHeight="1">
      <c r="C57" s="1" t="s">
        <v>151</v>
      </c>
      <c r="E57" s="1" t="s">
        <v>151</v>
      </c>
    </row>
    <row r="58" ht="15.75" customHeight="1">
      <c r="C58" s="1" t="s">
        <v>151</v>
      </c>
      <c r="E58" s="1" t="s">
        <v>151</v>
      </c>
    </row>
    <row r="59" ht="15.75" customHeight="1">
      <c r="C59" s="1" t="s">
        <v>151</v>
      </c>
      <c r="E59" s="1" t="s">
        <v>151</v>
      </c>
    </row>
    <row r="60" ht="15.75" customHeight="1">
      <c r="C60" s="1" t="s">
        <v>151</v>
      </c>
      <c r="E60" s="1" t="s">
        <v>151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O2"/>
    <mergeCell ref="Q1:Q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6.29"/>
    <col customWidth="1" min="3" max="3" width="4.14"/>
    <col customWidth="1" min="4" max="4" width="4.0"/>
    <col customWidth="1" min="5" max="5" width="5.0"/>
    <col customWidth="1" min="6" max="9" width="3.71"/>
    <col customWidth="1" min="10" max="10" width="8.57"/>
    <col customWidth="1" min="11" max="14" width="3.71"/>
    <col customWidth="1" min="15" max="15" width="7.43"/>
    <col customWidth="1" min="16" max="19" width="3.71"/>
    <col customWidth="1" min="20" max="20" width="7.71"/>
    <col customWidth="1" min="21" max="24" width="3.71"/>
    <col customWidth="1" min="25" max="25" width="7.43"/>
    <col customWidth="1" min="26" max="29" width="3.71"/>
    <col customWidth="1" min="30" max="30" width="7.86"/>
    <col customWidth="1" min="31" max="34" width="3.71"/>
    <col customWidth="1" min="35" max="35" width="8.0"/>
    <col customWidth="1" min="36" max="39" width="3.71"/>
    <col customWidth="1" min="40" max="40" width="7.57"/>
    <col customWidth="1" min="41" max="44" width="3.71"/>
    <col customWidth="1" min="45" max="45" width="8.14"/>
    <col customWidth="1" min="46" max="46" width="9.0"/>
    <col customWidth="1" min="47" max="47" width="10.86"/>
    <col customWidth="1" min="48" max="67" width="9.14"/>
  </cols>
  <sheetData>
    <row r="1">
      <c r="A1" s="9"/>
      <c r="B1" s="227" t="s">
        <v>157</v>
      </c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>
      <c r="A2" s="9"/>
      <c r="B2" s="9"/>
      <c r="C2" s="9"/>
      <c r="D2" s="9"/>
      <c r="E2" s="9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9"/>
      <c r="V2" s="229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9"/>
      <c r="AL2" s="229"/>
      <c r="AM2" s="228"/>
      <c r="AN2" s="229"/>
      <c r="AO2" s="229"/>
      <c r="AP2" s="229"/>
      <c r="AQ2" s="6"/>
      <c r="AR2" s="6"/>
      <c r="AS2" s="230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ht="20.25" customHeight="1">
      <c r="A3" s="9"/>
      <c r="B3" s="9"/>
      <c r="C3" s="19" t="s">
        <v>158</v>
      </c>
      <c r="F3" s="103"/>
      <c r="G3" s="231" t="s">
        <v>159</v>
      </c>
      <c r="H3" s="40"/>
      <c r="I3" s="40"/>
      <c r="J3" s="40"/>
      <c r="K3" s="83"/>
      <c r="L3" s="232"/>
      <c r="M3" s="232"/>
      <c r="N3" s="232"/>
      <c r="O3" s="232"/>
      <c r="P3" s="232"/>
      <c r="Q3" s="232"/>
      <c r="R3" s="233" t="s">
        <v>160</v>
      </c>
      <c r="U3" s="234"/>
      <c r="V3" s="40"/>
      <c r="W3" s="40"/>
      <c r="X3" s="40"/>
      <c r="Y3" s="40"/>
      <c r="Z3" s="83"/>
      <c r="AA3" s="235"/>
      <c r="AB3" s="235"/>
      <c r="AC3" s="235"/>
      <c r="AD3" s="235"/>
      <c r="AE3" s="236" t="s">
        <v>161</v>
      </c>
      <c r="AF3" s="236"/>
      <c r="AG3" s="236"/>
      <c r="AH3" s="236"/>
      <c r="AI3" s="237"/>
      <c r="AJ3" s="9"/>
      <c r="AK3" s="234" t="s">
        <v>53</v>
      </c>
      <c r="AL3" s="40"/>
      <c r="AM3" s="40"/>
      <c r="AN3" s="40"/>
      <c r="AO3" s="40"/>
      <c r="AP3" s="83"/>
      <c r="AQ3" s="238"/>
      <c r="AR3" s="238"/>
      <c r="AS3" s="238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 ht="10.5" customHeight="1">
      <c r="A4" s="9"/>
      <c r="B4" s="9"/>
      <c r="C4" s="239"/>
      <c r="D4" s="240"/>
      <c r="E4" s="9"/>
      <c r="F4" s="228"/>
      <c r="G4" s="240"/>
      <c r="H4" s="9"/>
      <c r="I4" s="9"/>
      <c r="J4" s="9"/>
      <c r="K4" s="240"/>
      <c r="L4" s="240"/>
      <c r="M4" s="240"/>
      <c r="N4" s="241"/>
      <c r="O4" s="241"/>
      <c r="P4" s="241"/>
      <c r="Q4" s="241"/>
      <c r="R4" s="233"/>
      <c r="S4" s="242"/>
      <c r="T4" s="242"/>
      <c r="U4" s="9"/>
      <c r="V4" s="238"/>
      <c r="W4" s="243"/>
      <c r="X4" s="243"/>
      <c r="Y4" s="235"/>
      <c r="Z4" s="235"/>
      <c r="AA4" s="235"/>
      <c r="AB4" s="235"/>
      <c r="AC4" s="235"/>
      <c r="AD4" s="235"/>
      <c r="AE4" s="242"/>
      <c r="AF4" s="236"/>
      <c r="AG4" s="236"/>
      <c r="AH4" s="236"/>
      <c r="AI4" s="237"/>
      <c r="AJ4" s="9"/>
      <c r="AK4" s="9"/>
      <c r="AL4" s="9"/>
      <c r="AM4" s="241"/>
      <c r="AN4" s="241"/>
      <c r="AO4" s="238"/>
      <c r="AP4" s="238"/>
      <c r="AQ4" s="241"/>
      <c r="AR4" s="238"/>
      <c r="AS4" s="238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</row>
    <row r="5" ht="20.25" customHeight="1">
      <c r="A5" s="228"/>
      <c r="B5" s="228"/>
      <c r="C5" s="244" t="s">
        <v>162</v>
      </c>
      <c r="D5" s="228"/>
      <c r="E5" s="9"/>
      <c r="F5" s="228"/>
      <c r="G5" s="245" t="s">
        <v>38</v>
      </c>
      <c r="H5" s="40"/>
      <c r="I5" s="40"/>
      <c r="J5" s="40"/>
      <c r="K5" s="40"/>
      <c r="L5" s="40"/>
      <c r="M5" s="40"/>
      <c r="N5" s="40"/>
      <c r="O5" s="40"/>
      <c r="P5" s="83"/>
      <c r="Q5" s="232"/>
      <c r="R5" s="233" t="s">
        <v>163</v>
      </c>
      <c r="U5" s="246">
        <v>123456.0</v>
      </c>
      <c r="V5" s="40"/>
      <c r="W5" s="40"/>
      <c r="X5" s="40"/>
      <c r="Y5" s="40"/>
      <c r="Z5" s="247"/>
      <c r="AA5" s="235"/>
      <c r="AB5" s="235"/>
      <c r="AC5" s="235"/>
      <c r="AD5" s="235"/>
      <c r="AE5" s="19" t="s">
        <v>164</v>
      </c>
      <c r="AJ5" s="9"/>
      <c r="AK5" s="248" t="s">
        <v>165</v>
      </c>
      <c r="AL5" s="40"/>
      <c r="AM5" s="40"/>
      <c r="AN5" s="40"/>
      <c r="AO5" s="40"/>
      <c r="AP5" s="83"/>
      <c r="AQ5" s="238"/>
      <c r="AR5" s="238"/>
      <c r="AS5" s="238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</row>
    <row r="6" ht="18.75" customHeight="1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41"/>
      <c r="O6" s="241"/>
      <c r="P6" s="241"/>
      <c r="Q6" s="241"/>
      <c r="R6" s="241"/>
      <c r="S6" s="241"/>
      <c r="T6" s="241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49"/>
      <c r="AI6" s="243"/>
      <c r="AJ6" s="243"/>
      <c r="AK6" s="243"/>
      <c r="AL6" s="238"/>
      <c r="AM6" s="238"/>
      <c r="AN6" s="238"/>
      <c r="AO6" s="238"/>
      <c r="AP6" s="238"/>
      <c r="AQ6" s="6"/>
      <c r="AR6" s="6"/>
      <c r="AS6" s="230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 ht="33.75" customHeight="1">
      <c r="A7" s="250" t="s">
        <v>166</v>
      </c>
      <c r="B7" s="251"/>
      <c r="C7" s="251"/>
      <c r="D7" s="251"/>
      <c r="E7" s="251"/>
      <c r="F7" s="252" t="s">
        <v>167</v>
      </c>
      <c r="G7" s="253"/>
      <c r="H7" s="253"/>
      <c r="I7" s="253"/>
      <c r="J7" s="254"/>
      <c r="K7" s="255" t="s">
        <v>141</v>
      </c>
      <c r="L7" s="253"/>
      <c r="M7" s="253"/>
      <c r="N7" s="253"/>
      <c r="O7" s="256"/>
      <c r="P7" s="252" t="s">
        <v>168</v>
      </c>
      <c r="Q7" s="253"/>
      <c r="R7" s="253"/>
      <c r="S7" s="253"/>
      <c r="T7" s="254"/>
      <c r="U7" s="255" t="s">
        <v>143</v>
      </c>
      <c r="V7" s="253"/>
      <c r="W7" s="253"/>
      <c r="X7" s="253"/>
      <c r="Y7" s="256"/>
      <c r="Z7" s="252" t="s">
        <v>169</v>
      </c>
      <c r="AA7" s="253"/>
      <c r="AB7" s="253"/>
      <c r="AC7" s="253"/>
      <c r="AD7" s="254"/>
      <c r="AE7" s="257" t="s">
        <v>146</v>
      </c>
      <c r="AF7" s="253"/>
      <c r="AG7" s="253"/>
      <c r="AH7" s="253"/>
      <c r="AI7" s="253"/>
      <c r="AJ7" s="252" t="s">
        <v>107</v>
      </c>
      <c r="AK7" s="253"/>
      <c r="AL7" s="253"/>
      <c r="AM7" s="253"/>
      <c r="AN7" s="254"/>
      <c r="AO7" s="255" t="s">
        <v>152</v>
      </c>
      <c r="AP7" s="253"/>
      <c r="AQ7" s="253"/>
      <c r="AR7" s="253"/>
      <c r="AS7" s="256"/>
      <c r="AT7" s="258"/>
      <c r="AU7" s="259" t="s">
        <v>170</v>
      </c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</row>
    <row r="8" ht="17.25" customHeight="1">
      <c r="A8" s="261"/>
      <c r="F8" s="262" t="s">
        <v>80</v>
      </c>
      <c r="G8" s="40"/>
      <c r="H8" s="40"/>
      <c r="I8" s="83"/>
      <c r="J8" s="263" t="s">
        <v>171</v>
      </c>
      <c r="K8" s="264" t="s">
        <v>80</v>
      </c>
      <c r="L8" s="40"/>
      <c r="M8" s="40"/>
      <c r="N8" s="83"/>
      <c r="O8" s="265" t="s">
        <v>171</v>
      </c>
      <c r="P8" s="262" t="s">
        <v>80</v>
      </c>
      <c r="Q8" s="40"/>
      <c r="R8" s="40"/>
      <c r="S8" s="83"/>
      <c r="T8" s="263" t="s">
        <v>171</v>
      </c>
      <c r="U8" s="264" t="s">
        <v>80</v>
      </c>
      <c r="V8" s="40"/>
      <c r="W8" s="40"/>
      <c r="X8" s="83"/>
      <c r="Y8" s="265" t="s">
        <v>171</v>
      </c>
      <c r="Z8" s="262" t="s">
        <v>80</v>
      </c>
      <c r="AA8" s="40"/>
      <c r="AB8" s="40"/>
      <c r="AC8" s="83"/>
      <c r="AD8" s="263" t="s">
        <v>171</v>
      </c>
      <c r="AE8" s="264" t="s">
        <v>80</v>
      </c>
      <c r="AF8" s="40"/>
      <c r="AG8" s="40"/>
      <c r="AH8" s="83"/>
      <c r="AI8" s="265" t="s">
        <v>171</v>
      </c>
      <c r="AJ8" s="262" t="s">
        <v>80</v>
      </c>
      <c r="AK8" s="40"/>
      <c r="AL8" s="40"/>
      <c r="AM8" s="83"/>
      <c r="AN8" s="263" t="s">
        <v>171</v>
      </c>
      <c r="AO8" s="264" t="s">
        <v>80</v>
      </c>
      <c r="AP8" s="40"/>
      <c r="AQ8" s="40"/>
      <c r="AR8" s="83"/>
      <c r="AS8" s="265" t="s">
        <v>171</v>
      </c>
      <c r="AT8" s="266"/>
      <c r="AU8" s="267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</row>
    <row r="9" ht="15.75" customHeight="1">
      <c r="A9" s="268"/>
      <c r="B9" s="36"/>
      <c r="C9" s="36"/>
      <c r="D9" s="36"/>
      <c r="E9" s="36"/>
      <c r="F9" s="269">
        <v>1.0</v>
      </c>
      <c r="G9" s="270">
        <v>2.0</v>
      </c>
      <c r="H9" s="270">
        <v>3.0</v>
      </c>
      <c r="I9" s="270">
        <v>4.0</v>
      </c>
      <c r="J9" s="271"/>
      <c r="K9" s="272">
        <v>1.0</v>
      </c>
      <c r="L9" s="270">
        <v>2.0</v>
      </c>
      <c r="M9" s="270">
        <v>3.0</v>
      </c>
      <c r="N9" s="270">
        <v>4.0</v>
      </c>
      <c r="O9" s="91"/>
      <c r="P9" s="269">
        <v>1.0</v>
      </c>
      <c r="Q9" s="270">
        <v>2.0</v>
      </c>
      <c r="R9" s="270">
        <v>3.0</v>
      </c>
      <c r="S9" s="270">
        <v>4.0</v>
      </c>
      <c r="T9" s="271"/>
      <c r="U9" s="272">
        <v>1.0</v>
      </c>
      <c r="V9" s="270">
        <v>2.0</v>
      </c>
      <c r="W9" s="270">
        <v>3.0</v>
      </c>
      <c r="X9" s="270">
        <v>4.0</v>
      </c>
      <c r="Y9" s="91"/>
      <c r="Z9" s="269">
        <v>1.0</v>
      </c>
      <c r="AA9" s="270">
        <v>2.0</v>
      </c>
      <c r="AB9" s="270">
        <v>3.0</v>
      </c>
      <c r="AC9" s="270">
        <v>4.0</v>
      </c>
      <c r="AD9" s="271"/>
      <c r="AE9" s="272">
        <v>1.0</v>
      </c>
      <c r="AF9" s="270">
        <v>2.0</v>
      </c>
      <c r="AG9" s="270">
        <v>3.0</v>
      </c>
      <c r="AH9" s="270">
        <v>4.0</v>
      </c>
      <c r="AI9" s="91"/>
      <c r="AJ9" s="269">
        <v>1.0</v>
      </c>
      <c r="AK9" s="270">
        <v>2.0</v>
      </c>
      <c r="AL9" s="270">
        <v>3.0</v>
      </c>
      <c r="AM9" s="270">
        <v>4.0</v>
      </c>
      <c r="AN9" s="271"/>
      <c r="AO9" s="272">
        <v>1.0</v>
      </c>
      <c r="AP9" s="270">
        <v>2.0</v>
      </c>
      <c r="AQ9" s="270">
        <v>3.0</v>
      </c>
      <c r="AR9" s="270">
        <v>4.0</v>
      </c>
      <c r="AS9" s="91"/>
      <c r="AT9" s="273"/>
      <c r="AU9" s="274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</row>
    <row r="10">
      <c r="A10" s="275"/>
      <c r="B10" s="276" t="s">
        <v>11</v>
      </c>
      <c r="C10" s="277"/>
      <c r="D10" s="277"/>
      <c r="E10" s="277"/>
      <c r="F10" s="275"/>
      <c r="G10" s="278"/>
      <c r="H10" s="278"/>
      <c r="I10" s="278"/>
      <c r="J10" s="279"/>
      <c r="K10" s="280"/>
      <c r="L10" s="278"/>
      <c r="M10" s="278"/>
      <c r="N10" s="278"/>
      <c r="O10" s="281"/>
      <c r="P10" s="275"/>
      <c r="Q10" s="278"/>
      <c r="R10" s="278"/>
      <c r="S10" s="278"/>
      <c r="T10" s="279"/>
      <c r="U10" s="280"/>
      <c r="V10" s="278"/>
      <c r="W10" s="278"/>
      <c r="X10" s="278"/>
      <c r="Y10" s="281"/>
      <c r="Z10" s="275"/>
      <c r="AA10" s="278"/>
      <c r="AB10" s="278"/>
      <c r="AC10" s="278"/>
      <c r="AD10" s="279"/>
      <c r="AE10" s="280"/>
      <c r="AF10" s="278"/>
      <c r="AG10" s="278"/>
      <c r="AH10" s="278"/>
      <c r="AI10" s="281"/>
      <c r="AJ10" s="275"/>
      <c r="AK10" s="278"/>
      <c r="AL10" s="278"/>
      <c r="AM10" s="278"/>
      <c r="AN10" s="279"/>
      <c r="AO10" s="280"/>
      <c r="AP10" s="278"/>
      <c r="AQ10" s="278"/>
      <c r="AR10" s="278"/>
      <c r="AS10" s="281"/>
      <c r="AT10" s="282"/>
      <c r="AU10" s="283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</row>
    <row r="11" ht="18.0" customHeight="1">
      <c r="A11" s="284">
        <v>1.0</v>
      </c>
      <c r="B11" s="285" t="s">
        <v>9</v>
      </c>
      <c r="C11" s="286"/>
      <c r="D11" s="286"/>
      <c r="E11" s="286"/>
      <c r="F11" s="287"/>
      <c r="G11" s="288"/>
      <c r="H11" s="288"/>
      <c r="I11" s="288"/>
      <c r="J11" s="289" t="str">
        <f t="shared" ref="J11:J41" si="1">IF(OR(F11="",G11="",H11="",I11=""),"",IF(ISERROR(ROUND(AVERAGE(F11,G11,H11,I11),0)),"",ROUND(AVERAGE(F11,G11,H11,I11),0)))</f>
        <v/>
      </c>
      <c r="K11" s="290"/>
      <c r="L11" s="288"/>
      <c r="M11" s="288"/>
      <c r="N11" s="288"/>
      <c r="O11" s="291" t="str">
        <f t="shared" ref="O11:O41" si="2">IF(OR(K11="",L11="",M11="",N11=""),"",IF(ISERROR(ROUND(AVERAGE(K11,L11,M11,N11),0)),"",ROUND(AVERAGE(K11,L11,M11,N11),0)))</f>
        <v/>
      </c>
      <c r="P11" s="287"/>
      <c r="Q11" s="288"/>
      <c r="R11" s="288"/>
      <c r="S11" s="288"/>
      <c r="T11" s="289" t="str">
        <f t="shared" ref="T11:T41" si="3">IF(OR(P11="",Q11="",R11="",S11=""),"",IF(ISERROR(ROUND(AVERAGE(P11,Q11,R11,S11),0)),"",ROUND(AVERAGE(P11,Q11,R11,S11),0)))</f>
        <v/>
      </c>
      <c r="U11" s="290"/>
      <c r="V11" s="288"/>
      <c r="W11" s="288"/>
      <c r="X11" s="288"/>
      <c r="Y11" s="291" t="str">
        <f t="shared" ref="Y11:Y41" si="4">IF(OR(U11="",V11="",W11="",X11=""),"",IF(ISERROR(ROUND(AVERAGE(U11,V11,W11,X11),0)),"",ROUND(AVERAGE(U11,V11,W11,X11),0)))</f>
        <v/>
      </c>
      <c r="Z11" s="287"/>
      <c r="AA11" s="288"/>
      <c r="AB11" s="288"/>
      <c r="AC11" s="288"/>
      <c r="AD11" s="289" t="str">
        <f t="shared" ref="AD11:AD41" si="5">IF(OR(Z11="",AA11="",AB11="",AC11=""),"",IF(ISERROR(ROUND(AVERAGE(Z11,AA11,AB11,AC11),0)),"",ROUND(AVERAGE(Z11,AA11,AB11,AC11),0)))</f>
        <v/>
      </c>
      <c r="AE11" s="290"/>
      <c r="AF11" s="288"/>
      <c r="AG11" s="288"/>
      <c r="AH11" s="288"/>
      <c r="AI11" s="291" t="str">
        <f t="shared" ref="AI11:AI41" si="6">IF(OR(AE11="",AF11="",AG11="",AH11=""),"",IF(ISERROR(ROUND(AVERAGE(AE11,AF11,AG11,AH11),0)),"",ROUND(AVERAGE(AE11,AF11,AG11,AH11),0)))</f>
        <v/>
      </c>
      <c r="AJ11" s="287"/>
      <c r="AK11" s="288"/>
      <c r="AL11" s="288"/>
      <c r="AM11" s="288"/>
      <c r="AN11" s="289" t="str">
        <f t="shared" ref="AN11:AN41" si="7">IF(OR(AJ11="",AK11="",AL11="",AM11=""),"",IF(ISERROR(ROUND(AVERAGE(AJ11,AK11,AL11,AM11),0)),"",ROUND(AVERAGE(AJ11,AK11,AL11,AM11),0)))</f>
        <v/>
      </c>
      <c r="AO11" s="290"/>
      <c r="AP11" s="288"/>
      <c r="AQ11" s="288"/>
      <c r="AR11" s="288"/>
      <c r="AS11" s="291" t="str">
        <f t="shared" ref="AS11:AS41" si="8">IF(OR(AO11="",AP11="",AQ11="",AR11=""),"",IF(ISERROR(ROUND(AVERAGE(AO11,AP11,AQ11,AR11),0)),"",ROUND(AVERAGE(AO11,AP11,AQ11,AR11),0)))</f>
        <v/>
      </c>
      <c r="AT11" s="292">
        <f t="shared" ref="AT11:AT41" si="9">IF(ISERROR(J11+O11+T11+Y11+AD11+AI11+AN11+AS11)/8,"",(J11+O11+T11+Y11+AD11+AI11+AN11+AS11)/8)</f>
        <v>0</v>
      </c>
      <c r="AU11" s="293">
        <f t="shared" ref="AU11:AU41" si="10">IF(ISERROR(ROUND(AT11,0)),"",ROUND(AT11,0))</f>
        <v>0</v>
      </c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</row>
    <row r="12" ht="18.0" customHeight="1">
      <c r="A12" s="284">
        <v>2.0</v>
      </c>
      <c r="B12" s="285" t="s">
        <v>12</v>
      </c>
      <c r="C12" s="286"/>
      <c r="D12" s="286"/>
      <c r="E12" s="286"/>
      <c r="F12" s="287"/>
      <c r="G12" s="288"/>
      <c r="H12" s="288"/>
      <c r="I12" s="288"/>
      <c r="J12" s="289" t="str">
        <f t="shared" si="1"/>
        <v/>
      </c>
      <c r="K12" s="290"/>
      <c r="L12" s="288"/>
      <c r="M12" s="288"/>
      <c r="N12" s="288"/>
      <c r="O12" s="291" t="str">
        <f t="shared" si="2"/>
        <v/>
      </c>
      <c r="P12" s="287"/>
      <c r="Q12" s="288"/>
      <c r="R12" s="288"/>
      <c r="S12" s="288"/>
      <c r="T12" s="289" t="str">
        <f t="shared" si="3"/>
        <v/>
      </c>
      <c r="U12" s="290"/>
      <c r="V12" s="288"/>
      <c r="W12" s="288"/>
      <c r="X12" s="288"/>
      <c r="Y12" s="291" t="str">
        <f t="shared" si="4"/>
        <v/>
      </c>
      <c r="Z12" s="287"/>
      <c r="AA12" s="288"/>
      <c r="AB12" s="288"/>
      <c r="AC12" s="288"/>
      <c r="AD12" s="289" t="str">
        <f t="shared" si="5"/>
        <v/>
      </c>
      <c r="AE12" s="290"/>
      <c r="AF12" s="288"/>
      <c r="AG12" s="288"/>
      <c r="AH12" s="288"/>
      <c r="AI12" s="291" t="str">
        <f t="shared" si="6"/>
        <v/>
      </c>
      <c r="AJ12" s="287"/>
      <c r="AK12" s="288"/>
      <c r="AL12" s="288"/>
      <c r="AM12" s="288"/>
      <c r="AN12" s="289" t="str">
        <f t="shared" si="7"/>
        <v/>
      </c>
      <c r="AO12" s="290"/>
      <c r="AP12" s="288"/>
      <c r="AQ12" s="288"/>
      <c r="AR12" s="288"/>
      <c r="AS12" s="291" t="str">
        <f t="shared" si="8"/>
        <v/>
      </c>
      <c r="AT12" s="292">
        <f t="shared" si="9"/>
        <v>0</v>
      </c>
      <c r="AU12" s="293">
        <f t="shared" si="10"/>
        <v>0</v>
      </c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</row>
    <row r="13" ht="18.0" customHeight="1">
      <c r="A13" s="284">
        <v>3.0</v>
      </c>
      <c r="B13" s="285" t="s">
        <v>13</v>
      </c>
      <c r="C13" s="286"/>
      <c r="D13" s="286"/>
      <c r="E13" s="286"/>
      <c r="F13" s="287"/>
      <c r="G13" s="288"/>
      <c r="H13" s="288"/>
      <c r="I13" s="288"/>
      <c r="J13" s="289" t="str">
        <f t="shared" si="1"/>
        <v/>
      </c>
      <c r="K13" s="290"/>
      <c r="L13" s="288"/>
      <c r="M13" s="288"/>
      <c r="N13" s="288"/>
      <c r="O13" s="291" t="str">
        <f t="shared" si="2"/>
        <v/>
      </c>
      <c r="P13" s="287"/>
      <c r="Q13" s="288"/>
      <c r="R13" s="288"/>
      <c r="S13" s="288"/>
      <c r="T13" s="289" t="str">
        <f t="shared" si="3"/>
        <v/>
      </c>
      <c r="U13" s="290"/>
      <c r="V13" s="288"/>
      <c r="W13" s="288"/>
      <c r="X13" s="288"/>
      <c r="Y13" s="291" t="str">
        <f t="shared" si="4"/>
        <v/>
      </c>
      <c r="Z13" s="287"/>
      <c r="AA13" s="288"/>
      <c r="AB13" s="288"/>
      <c r="AC13" s="288"/>
      <c r="AD13" s="289" t="str">
        <f t="shared" si="5"/>
        <v/>
      </c>
      <c r="AE13" s="290"/>
      <c r="AF13" s="288"/>
      <c r="AG13" s="288"/>
      <c r="AH13" s="288"/>
      <c r="AI13" s="291" t="str">
        <f t="shared" si="6"/>
        <v/>
      </c>
      <c r="AJ13" s="287"/>
      <c r="AK13" s="288"/>
      <c r="AL13" s="288"/>
      <c r="AM13" s="288"/>
      <c r="AN13" s="289" t="str">
        <f t="shared" si="7"/>
        <v/>
      </c>
      <c r="AO13" s="290"/>
      <c r="AP13" s="288"/>
      <c r="AQ13" s="288"/>
      <c r="AR13" s="288"/>
      <c r="AS13" s="291" t="str">
        <f t="shared" si="8"/>
        <v/>
      </c>
      <c r="AT13" s="292">
        <f t="shared" si="9"/>
        <v>0</v>
      </c>
      <c r="AU13" s="293">
        <f t="shared" si="10"/>
        <v>0</v>
      </c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</row>
    <row r="14" ht="18.0" customHeight="1">
      <c r="A14" s="284">
        <v>4.0</v>
      </c>
      <c r="B14" s="285" t="s">
        <v>14</v>
      </c>
      <c r="C14" s="286"/>
      <c r="D14" s="286"/>
      <c r="E14" s="286"/>
      <c r="F14" s="287"/>
      <c r="G14" s="288"/>
      <c r="H14" s="288"/>
      <c r="I14" s="288"/>
      <c r="J14" s="289" t="str">
        <f t="shared" si="1"/>
        <v/>
      </c>
      <c r="K14" s="290"/>
      <c r="L14" s="288"/>
      <c r="M14" s="288"/>
      <c r="N14" s="288"/>
      <c r="O14" s="291" t="str">
        <f t="shared" si="2"/>
        <v/>
      </c>
      <c r="P14" s="287"/>
      <c r="Q14" s="288"/>
      <c r="R14" s="288"/>
      <c r="S14" s="288"/>
      <c r="T14" s="289" t="str">
        <f t="shared" si="3"/>
        <v/>
      </c>
      <c r="U14" s="290"/>
      <c r="V14" s="288"/>
      <c r="W14" s="288"/>
      <c r="X14" s="288"/>
      <c r="Y14" s="291" t="str">
        <f t="shared" si="4"/>
        <v/>
      </c>
      <c r="Z14" s="287"/>
      <c r="AA14" s="288"/>
      <c r="AB14" s="288"/>
      <c r="AC14" s="288"/>
      <c r="AD14" s="289" t="str">
        <f t="shared" si="5"/>
        <v/>
      </c>
      <c r="AE14" s="290"/>
      <c r="AF14" s="288"/>
      <c r="AG14" s="288"/>
      <c r="AH14" s="288"/>
      <c r="AI14" s="291" t="str">
        <f t="shared" si="6"/>
        <v/>
      </c>
      <c r="AJ14" s="287"/>
      <c r="AK14" s="288"/>
      <c r="AL14" s="288"/>
      <c r="AM14" s="288"/>
      <c r="AN14" s="289" t="str">
        <f t="shared" si="7"/>
        <v/>
      </c>
      <c r="AO14" s="290"/>
      <c r="AP14" s="288"/>
      <c r="AQ14" s="288"/>
      <c r="AR14" s="288"/>
      <c r="AS14" s="291" t="str">
        <f t="shared" si="8"/>
        <v/>
      </c>
      <c r="AT14" s="292">
        <f t="shared" si="9"/>
        <v>0</v>
      </c>
      <c r="AU14" s="293">
        <f t="shared" si="10"/>
        <v>0</v>
      </c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</row>
    <row r="15" ht="18.0" customHeight="1">
      <c r="A15" s="284">
        <v>5.0</v>
      </c>
      <c r="B15" s="285" t="s">
        <v>15</v>
      </c>
      <c r="C15" s="286"/>
      <c r="D15" s="286"/>
      <c r="E15" s="286"/>
      <c r="F15" s="287"/>
      <c r="G15" s="288"/>
      <c r="H15" s="288"/>
      <c r="I15" s="288"/>
      <c r="J15" s="289" t="str">
        <f t="shared" si="1"/>
        <v/>
      </c>
      <c r="K15" s="290"/>
      <c r="L15" s="288"/>
      <c r="M15" s="288"/>
      <c r="N15" s="288"/>
      <c r="O15" s="291" t="str">
        <f t="shared" si="2"/>
        <v/>
      </c>
      <c r="P15" s="287"/>
      <c r="Q15" s="288"/>
      <c r="R15" s="288"/>
      <c r="S15" s="288"/>
      <c r="T15" s="289" t="str">
        <f t="shared" si="3"/>
        <v/>
      </c>
      <c r="U15" s="290"/>
      <c r="V15" s="288"/>
      <c r="W15" s="288"/>
      <c r="X15" s="288"/>
      <c r="Y15" s="291" t="str">
        <f t="shared" si="4"/>
        <v/>
      </c>
      <c r="Z15" s="287"/>
      <c r="AA15" s="288"/>
      <c r="AB15" s="288"/>
      <c r="AC15" s="288"/>
      <c r="AD15" s="289" t="str">
        <f t="shared" si="5"/>
        <v/>
      </c>
      <c r="AE15" s="290"/>
      <c r="AF15" s="288"/>
      <c r="AG15" s="288"/>
      <c r="AH15" s="288"/>
      <c r="AI15" s="291" t="str">
        <f t="shared" si="6"/>
        <v/>
      </c>
      <c r="AJ15" s="287"/>
      <c r="AK15" s="288"/>
      <c r="AL15" s="288"/>
      <c r="AM15" s="288"/>
      <c r="AN15" s="289" t="str">
        <f t="shared" si="7"/>
        <v/>
      </c>
      <c r="AO15" s="290"/>
      <c r="AP15" s="288"/>
      <c r="AQ15" s="288"/>
      <c r="AR15" s="288"/>
      <c r="AS15" s="291" t="str">
        <f t="shared" si="8"/>
        <v/>
      </c>
      <c r="AT15" s="292">
        <f t="shared" si="9"/>
        <v>0</v>
      </c>
      <c r="AU15" s="293">
        <f t="shared" si="10"/>
        <v>0</v>
      </c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</row>
    <row r="16" ht="18.0" customHeight="1">
      <c r="A16" s="284">
        <v>6.0</v>
      </c>
      <c r="B16" s="285" t="s">
        <v>16</v>
      </c>
      <c r="C16" s="286"/>
      <c r="D16" s="286"/>
      <c r="E16" s="286"/>
      <c r="F16" s="287"/>
      <c r="G16" s="288"/>
      <c r="H16" s="288"/>
      <c r="I16" s="288"/>
      <c r="J16" s="289" t="str">
        <f t="shared" si="1"/>
        <v/>
      </c>
      <c r="K16" s="290"/>
      <c r="L16" s="288"/>
      <c r="M16" s="288"/>
      <c r="N16" s="288"/>
      <c r="O16" s="291" t="str">
        <f t="shared" si="2"/>
        <v/>
      </c>
      <c r="P16" s="287"/>
      <c r="Q16" s="288"/>
      <c r="R16" s="288"/>
      <c r="S16" s="288"/>
      <c r="T16" s="289" t="str">
        <f t="shared" si="3"/>
        <v/>
      </c>
      <c r="U16" s="290"/>
      <c r="V16" s="288"/>
      <c r="W16" s="288"/>
      <c r="X16" s="288"/>
      <c r="Y16" s="291" t="str">
        <f t="shared" si="4"/>
        <v/>
      </c>
      <c r="Z16" s="287"/>
      <c r="AA16" s="288"/>
      <c r="AB16" s="288"/>
      <c r="AC16" s="288"/>
      <c r="AD16" s="289" t="str">
        <f t="shared" si="5"/>
        <v/>
      </c>
      <c r="AE16" s="290"/>
      <c r="AF16" s="288"/>
      <c r="AG16" s="288"/>
      <c r="AH16" s="288"/>
      <c r="AI16" s="291" t="str">
        <f t="shared" si="6"/>
        <v/>
      </c>
      <c r="AJ16" s="287"/>
      <c r="AK16" s="288"/>
      <c r="AL16" s="288"/>
      <c r="AM16" s="288"/>
      <c r="AN16" s="289" t="str">
        <f t="shared" si="7"/>
        <v/>
      </c>
      <c r="AO16" s="290"/>
      <c r="AP16" s="288"/>
      <c r="AQ16" s="288"/>
      <c r="AR16" s="288"/>
      <c r="AS16" s="291" t="str">
        <f t="shared" si="8"/>
        <v/>
      </c>
      <c r="AT16" s="292">
        <f t="shared" si="9"/>
        <v>0</v>
      </c>
      <c r="AU16" s="293">
        <f t="shared" si="10"/>
        <v>0</v>
      </c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</row>
    <row r="17" ht="18.0" customHeight="1">
      <c r="A17" s="284">
        <v>7.0</v>
      </c>
      <c r="B17" s="285" t="s">
        <v>17</v>
      </c>
      <c r="C17" s="286"/>
      <c r="D17" s="286"/>
      <c r="E17" s="286"/>
      <c r="F17" s="287"/>
      <c r="G17" s="288"/>
      <c r="H17" s="288"/>
      <c r="I17" s="288"/>
      <c r="J17" s="289" t="str">
        <f t="shared" si="1"/>
        <v/>
      </c>
      <c r="K17" s="290"/>
      <c r="L17" s="288"/>
      <c r="M17" s="288"/>
      <c r="N17" s="288"/>
      <c r="O17" s="291" t="str">
        <f t="shared" si="2"/>
        <v/>
      </c>
      <c r="P17" s="287"/>
      <c r="Q17" s="288"/>
      <c r="R17" s="288"/>
      <c r="S17" s="288"/>
      <c r="T17" s="289" t="str">
        <f t="shared" si="3"/>
        <v/>
      </c>
      <c r="U17" s="290"/>
      <c r="V17" s="288"/>
      <c r="W17" s="288"/>
      <c r="X17" s="288"/>
      <c r="Y17" s="291" t="str">
        <f t="shared" si="4"/>
        <v/>
      </c>
      <c r="Z17" s="287"/>
      <c r="AA17" s="288"/>
      <c r="AB17" s="288"/>
      <c r="AC17" s="288"/>
      <c r="AD17" s="289" t="str">
        <f t="shared" si="5"/>
        <v/>
      </c>
      <c r="AE17" s="290"/>
      <c r="AF17" s="288"/>
      <c r="AG17" s="288"/>
      <c r="AH17" s="288"/>
      <c r="AI17" s="291" t="str">
        <f t="shared" si="6"/>
        <v/>
      </c>
      <c r="AJ17" s="287"/>
      <c r="AK17" s="288"/>
      <c r="AL17" s="288"/>
      <c r="AM17" s="288"/>
      <c r="AN17" s="289" t="str">
        <f t="shared" si="7"/>
        <v/>
      </c>
      <c r="AO17" s="290"/>
      <c r="AP17" s="288"/>
      <c r="AQ17" s="288"/>
      <c r="AR17" s="288"/>
      <c r="AS17" s="291" t="str">
        <f t="shared" si="8"/>
        <v/>
      </c>
      <c r="AT17" s="292">
        <f t="shared" si="9"/>
        <v>0</v>
      </c>
      <c r="AU17" s="293">
        <f t="shared" si="10"/>
        <v>0</v>
      </c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</row>
    <row r="18" ht="18.0" customHeight="1">
      <c r="A18" s="284">
        <v>8.0</v>
      </c>
      <c r="B18" s="285" t="s">
        <v>18</v>
      </c>
      <c r="C18" s="286"/>
      <c r="D18" s="286"/>
      <c r="E18" s="286"/>
      <c r="F18" s="287"/>
      <c r="G18" s="288"/>
      <c r="H18" s="288"/>
      <c r="I18" s="288"/>
      <c r="J18" s="289" t="str">
        <f t="shared" si="1"/>
        <v/>
      </c>
      <c r="K18" s="290"/>
      <c r="L18" s="288"/>
      <c r="M18" s="288"/>
      <c r="N18" s="288"/>
      <c r="O18" s="291" t="str">
        <f t="shared" si="2"/>
        <v/>
      </c>
      <c r="P18" s="287"/>
      <c r="Q18" s="288"/>
      <c r="R18" s="288"/>
      <c r="S18" s="288"/>
      <c r="T18" s="289" t="str">
        <f t="shared" si="3"/>
        <v/>
      </c>
      <c r="U18" s="290"/>
      <c r="V18" s="288"/>
      <c r="W18" s="288"/>
      <c r="X18" s="288"/>
      <c r="Y18" s="291" t="str">
        <f t="shared" si="4"/>
        <v/>
      </c>
      <c r="Z18" s="287"/>
      <c r="AA18" s="288"/>
      <c r="AB18" s="288"/>
      <c r="AC18" s="288"/>
      <c r="AD18" s="289" t="str">
        <f t="shared" si="5"/>
        <v/>
      </c>
      <c r="AE18" s="290"/>
      <c r="AF18" s="288"/>
      <c r="AG18" s="288"/>
      <c r="AH18" s="288"/>
      <c r="AI18" s="291" t="str">
        <f t="shared" si="6"/>
        <v/>
      </c>
      <c r="AJ18" s="287"/>
      <c r="AK18" s="288"/>
      <c r="AL18" s="288"/>
      <c r="AM18" s="288"/>
      <c r="AN18" s="289" t="str">
        <f t="shared" si="7"/>
        <v/>
      </c>
      <c r="AO18" s="290"/>
      <c r="AP18" s="288"/>
      <c r="AQ18" s="288"/>
      <c r="AR18" s="288"/>
      <c r="AS18" s="291" t="str">
        <f t="shared" si="8"/>
        <v/>
      </c>
      <c r="AT18" s="292">
        <f t="shared" si="9"/>
        <v>0</v>
      </c>
      <c r="AU18" s="293">
        <f t="shared" si="10"/>
        <v>0</v>
      </c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</row>
    <row r="19" ht="18.0" customHeight="1">
      <c r="A19" s="284">
        <v>9.0</v>
      </c>
      <c r="B19" s="285" t="s">
        <v>19</v>
      </c>
      <c r="C19" s="286"/>
      <c r="D19" s="286"/>
      <c r="E19" s="286"/>
      <c r="F19" s="287"/>
      <c r="G19" s="288"/>
      <c r="H19" s="288"/>
      <c r="I19" s="288"/>
      <c r="J19" s="289" t="str">
        <f t="shared" si="1"/>
        <v/>
      </c>
      <c r="K19" s="290"/>
      <c r="L19" s="288"/>
      <c r="M19" s="288"/>
      <c r="N19" s="288"/>
      <c r="O19" s="291" t="str">
        <f t="shared" si="2"/>
        <v/>
      </c>
      <c r="P19" s="287"/>
      <c r="Q19" s="288"/>
      <c r="R19" s="288"/>
      <c r="S19" s="288"/>
      <c r="T19" s="289" t="str">
        <f t="shared" si="3"/>
        <v/>
      </c>
      <c r="U19" s="290"/>
      <c r="V19" s="288"/>
      <c r="W19" s="288"/>
      <c r="X19" s="288"/>
      <c r="Y19" s="291" t="str">
        <f t="shared" si="4"/>
        <v/>
      </c>
      <c r="Z19" s="287"/>
      <c r="AA19" s="288"/>
      <c r="AB19" s="288"/>
      <c r="AC19" s="288"/>
      <c r="AD19" s="289" t="str">
        <f t="shared" si="5"/>
        <v/>
      </c>
      <c r="AE19" s="290"/>
      <c r="AF19" s="288"/>
      <c r="AG19" s="288"/>
      <c r="AH19" s="288"/>
      <c r="AI19" s="291" t="str">
        <f t="shared" si="6"/>
        <v/>
      </c>
      <c r="AJ19" s="287"/>
      <c r="AK19" s="288"/>
      <c r="AL19" s="288"/>
      <c r="AM19" s="288"/>
      <c r="AN19" s="289" t="str">
        <f t="shared" si="7"/>
        <v/>
      </c>
      <c r="AO19" s="290"/>
      <c r="AP19" s="288"/>
      <c r="AQ19" s="288"/>
      <c r="AR19" s="288"/>
      <c r="AS19" s="291" t="str">
        <f t="shared" si="8"/>
        <v/>
      </c>
      <c r="AT19" s="292">
        <f t="shared" si="9"/>
        <v>0</v>
      </c>
      <c r="AU19" s="293">
        <f t="shared" si="10"/>
        <v>0</v>
      </c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</row>
    <row r="20" ht="18.0" customHeight="1">
      <c r="A20" s="284">
        <v>10.0</v>
      </c>
      <c r="B20" s="285" t="s">
        <v>20</v>
      </c>
      <c r="C20" s="286"/>
      <c r="D20" s="286"/>
      <c r="E20" s="286"/>
      <c r="F20" s="287"/>
      <c r="G20" s="288"/>
      <c r="H20" s="288"/>
      <c r="I20" s="288"/>
      <c r="J20" s="289" t="str">
        <f t="shared" si="1"/>
        <v/>
      </c>
      <c r="K20" s="290"/>
      <c r="L20" s="288"/>
      <c r="M20" s="288"/>
      <c r="N20" s="288"/>
      <c r="O20" s="291" t="str">
        <f t="shared" si="2"/>
        <v/>
      </c>
      <c r="P20" s="287"/>
      <c r="Q20" s="288"/>
      <c r="R20" s="288"/>
      <c r="S20" s="288"/>
      <c r="T20" s="289" t="str">
        <f t="shared" si="3"/>
        <v/>
      </c>
      <c r="U20" s="290"/>
      <c r="V20" s="288"/>
      <c r="W20" s="288"/>
      <c r="X20" s="288"/>
      <c r="Y20" s="291" t="str">
        <f t="shared" si="4"/>
        <v/>
      </c>
      <c r="Z20" s="287"/>
      <c r="AA20" s="288"/>
      <c r="AB20" s="288"/>
      <c r="AC20" s="288"/>
      <c r="AD20" s="289" t="str">
        <f t="shared" si="5"/>
        <v/>
      </c>
      <c r="AE20" s="290"/>
      <c r="AF20" s="288"/>
      <c r="AG20" s="288"/>
      <c r="AH20" s="288"/>
      <c r="AI20" s="291" t="str">
        <f t="shared" si="6"/>
        <v/>
      </c>
      <c r="AJ20" s="287"/>
      <c r="AK20" s="288"/>
      <c r="AL20" s="288"/>
      <c r="AM20" s="288"/>
      <c r="AN20" s="289" t="str">
        <f t="shared" si="7"/>
        <v/>
      </c>
      <c r="AO20" s="290"/>
      <c r="AP20" s="288"/>
      <c r="AQ20" s="288"/>
      <c r="AR20" s="288"/>
      <c r="AS20" s="291" t="str">
        <f t="shared" si="8"/>
        <v/>
      </c>
      <c r="AT20" s="292">
        <f t="shared" si="9"/>
        <v>0</v>
      </c>
      <c r="AU20" s="293">
        <f t="shared" si="10"/>
        <v>0</v>
      </c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</row>
    <row r="21" ht="18.0" customHeight="1">
      <c r="A21" s="284">
        <v>11.0</v>
      </c>
      <c r="B21" s="294"/>
      <c r="C21" s="286"/>
      <c r="D21" s="286"/>
      <c r="E21" s="286"/>
      <c r="F21" s="287"/>
      <c r="G21" s="288"/>
      <c r="H21" s="288"/>
      <c r="I21" s="288"/>
      <c r="J21" s="289" t="str">
        <f t="shared" si="1"/>
        <v/>
      </c>
      <c r="K21" s="290"/>
      <c r="L21" s="288"/>
      <c r="M21" s="288"/>
      <c r="N21" s="288"/>
      <c r="O21" s="291" t="str">
        <f t="shared" si="2"/>
        <v/>
      </c>
      <c r="P21" s="287"/>
      <c r="Q21" s="288"/>
      <c r="R21" s="288"/>
      <c r="S21" s="288"/>
      <c r="T21" s="289" t="str">
        <f t="shared" si="3"/>
        <v/>
      </c>
      <c r="U21" s="290"/>
      <c r="V21" s="288"/>
      <c r="W21" s="288"/>
      <c r="X21" s="288"/>
      <c r="Y21" s="291" t="str">
        <f t="shared" si="4"/>
        <v/>
      </c>
      <c r="Z21" s="287"/>
      <c r="AA21" s="288"/>
      <c r="AB21" s="288"/>
      <c r="AC21" s="288"/>
      <c r="AD21" s="289" t="str">
        <f t="shared" si="5"/>
        <v/>
      </c>
      <c r="AE21" s="290"/>
      <c r="AF21" s="288"/>
      <c r="AG21" s="288"/>
      <c r="AH21" s="288"/>
      <c r="AI21" s="291" t="str">
        <f t="shared" si="6"/>
        <v/>
      </c>
      <c r="AJ21" s="287"/>
      <c r="AK21" s="288"/>
      <c r="AL21" s="288"/>
      <c r="AM21" s="288"/>
      <c r="AN21" s="289" t="str">
        <f t="shared" si="7"/>
        <v/>
      </c>
      <c r="AO21" s="290"/>
      <c r="AP21" s="288"/>
      <c r="AQ21" s="288"/>
      <c r="AR21" s="288"/>
      <c r="AS21" s="291" t="str">
        <f t="shared" si="8"/>
        <v/>
      </c>
      <c r="AT21" s="292">
        <f t="shared" si="9"/>
        <v>0</v>
      </c>
      <c r="AU21" s="293">
        <f t="shared" si="10"/>
        <v>0</v>
      </c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0"/>
      <c r="BK21" s="260"/>
      <c r="BL21" s="260"/>
      <c r="BM21" s="260"/>
      <c r="BN21" s="260"/>
      <c r="BO21" s="260"/>
    </row>
    <row r="22" ht="18.0" customHeight="1">
      <c r="A22" s="284">
        <v>12.0</v>
      </c>
      <c r="B22" s="294"/>
      <c r="C22" s="286"/>
      <c r="D22" s="286"/>
      <c r="E22" s="286"/>
      <c r="F22" s="287"/>
      <c r="G22" s="288"/>
      <c r="H22" s="288"/>
      <c r="I22" s="288"/>
      <c r="J22" s="289" t="str">
        <f t="shared" si="1"/>
        <v/>
      </c>
      <c r="K22" s="290"/>
      <c r="L22" s="288"/>
      <c r="M22" s="288"/>
      <c r="N22" s="288"/>
      <c r="O22" s="291" t="str">
        <f t="shared" si="2"/>
        <v/>
      </c>
      <c r="P22" s="287"/>
      <c r="Q22" s="288"/>
      <c r="R22" s="288"/>
      <c r="S22" s="288"/>
      <c r="T22" s="289" t="str">
        <f t="shared" si="3"/>
        <v/>
      </c>
      <c r="U22" s="290"/>
      <c r="V22" s="288"/>
      <c r="W22" s="288"/>
      <c r="X22" s="288"/>
      <c r="Y22" s="291" t="str">
        <f t="shared" si="4"/>
        <v/>
      </c>
      <c r="Z22" s="287"/>
      <c r="AA22" s="288"/>
      <c r="AB22" s="288"/>
      <c r="AC22" s="288"/>
      <c r="AD22" s="289" t="str">
        <f t="shared" si="5"/>
        <v/>
      </c>
      <c r="AE22" s="290"/>
      <c r="AF22" s="288"/>
      <c r="AG22" s="288"/>
      <c r="AH22" s="288"/>
      <c r="AI22" s="291" t="str">
        <f t="shared" si="6"/>
        <v/>
      </c>
      <c r="AJ22" s="287"/>
      <c r="AK22" s="288"/>
      <c r="AL22" s="288"/>
      <c r="AM22" s="288"/>
      <c r="AN22" s="289" t="str">
        <f t="shared" si="7"/>
        <v/>
      </c>
      <c r="AO22" s="290"/>
      <c r="AP22" s="288"/>
      <c r="AQ22" s="288"/>
      <c r="AR22" s="288"/>
      <c r="AS22" s="291" t="str">
        <f t="shared" si="8"/>
        <v/>
      </c>
      <c r="AT22" s="292">
        <f t="shared" si="9"/>
        <v>0</v>
      </c>
      <c r="AU22" s="293">
        <f t="shared" si="10"/>
        <v>0</v>
      </c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</row>
    <row r="23" ht="18.0" customHeight="1">
      <c r="A23" s="284">
        <v>13.0</v>
      </c>
      <c r="B23" s="294"/>
      <c r="C23" s="286"/>
      <c r="D23" s="286"/>
      <c r="E23" s="286"/>
      <c r="F23" s="287"/>
      <c r="G23" s="288"/>
      <c r="H23" s="288"/>
      <c r="I23" s="288"/>
      <c r="J23" s="289" t="str">
        <f t="shared" si="1"/>
        <v/>
      </c>
      <c r="K23" s="290"/>
      <c r="L23" s="288"/>
      <c r="M23" s="288"/>
      <c r="N23" s="288"/>
      <c r="O23" s="291" t="str">
        <f t="shared" si="2"/>
        <v/>
      </c>
      <c r="P23" s="287"/>
      <c r="Q23" s="288"/>
      <c r="R23" s="288"/>
      <c r="S23" s="288"/>
      <c r="T23" s="289" t="str">
        <f t="shared" si="3"/>
        <v/>
      </c>
      <c r="U23" s="290"/>
      <c r="V23" s="288"/>
      <c r="W23" s="288"/>
      <c r="X23" s="288"/>
      <c r="Y23" s="291" t="str">
        <f t="shared" si="4"/>
        <v/>
      </c>
      <c r="Z23" s="287"/>
      <c r="AA23" s="288"/>
      <c r="AB23" s="288"/>
      <c r="AC23" s="288"/>
      <c r="AD23" s="289" t="str">
        <f t="shared" si="5"/>
        <v/>
      </c>
      <c r="AE23" s="290"/>
      <c r="AF23" s="288"/>
      <c r="AG23" s="288"/>
      <c r="AH23" s="288"/>
      <c r="AI23" s="291" t="str">
        <f t="shared" si="6"/>
        <v/>
      </c>
      <c r="AJ23" s="287"/>
      <c r="AK23" s="288"/>
      <c r="AL23" s="288"/>
      <c r="AM23" s="288"/>
      <c r="AN23" s="289" t="str">
        <f t="shared" si="7"/>
        <v/>
      </c>
      <c r="AO23" s="290"/>
      <c r="AP23" s="288"/>
      <c r="AQ23" s="288"/>
      <c r="AR23" s="288"/>
      <c r="AS23" s="291" t="str">
        <f t="shared" si="8"/>
        <v/>
      </c>
      <c r="AT23" s="292">
        <f t="shared" si="9"/>
        <v>0</v>
      </c>
      <c r="AU23" s="293">
        <f t="shared" si="10"/>
        <v>0</v>
      </c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</row>
    <row r="24" ht="18.0" customHeight="1">
      <c r="A24" s="284">
        <v>14.0</v>
      </c>
      <c r="B24" s="294"/>
      <c r="C24" s="286"/>
      <c r="D24" s="286"/>
      <c r="E24" s="286"/>
      <c r="F24" s="287"/>
      <c r="G24" s="288"/>
      <c r="H24" s="288"/>
      <c r="I24" s="288"/>
      <c r="J24" s="289" t="str">
        <f t="shared" si="1"/>
        <v/>
      </c>
      <c r="K24" s="290"/>
      <c r="L24" s="288"/>
      <c r="M24" s="288"/>
      <c r="N24" s="288"/>
      <c r="O24" s="291" t="str">
        <f t="shared" si="2"/>
        <v/>
      </c>
      <c r="P24" s="287"/>
      <c r="Q24" s="288"/>
      <c r="R24" s="288"/>
      <c r="S24" s="288"/>
      <c r="T24" s="289" t="str">
        <f t="shared" si="3"/>
        <v/>
      </c>
      <c r="U24" s="290"/>
      <c r="V24" s="288"/>
      <c r="W24" s="288"/>
      <c r="X24" s="288"/>
      <c r="Y24" s="291" t="str">
        <f t="shared" si="4"/>
        <v/>
      </c>
      <c r="Z24" s="287"/>
      <c r="AA24" s="288"/>
      <c r="AB24" s="288"/>
      <c r="AC24" s="288"/>
      <c r="AD24" s="289" t="str">
        <f t="shared" si="5"/>
        <v/>
      </c>
      <c r="AE24" s="290"/>
      <c r="AF24" s="288"/>
      <c r="AG24" s="288"/>
      <c r="AH24" s="288"/>
      <c r="AI24" s="291" t="str">
        <f t="shared" si="6"/>
        <v/>
      </c>
      <c r="AJ24" s="287"/>
      <c r="AK24" s="288"/>
      <c r="AL24" s="288"/>
      <c r="AM24" s="288"/>
      <c r="AN24" s="289" t="str">
        <f t="shared" si="7"/>
        <v/>
      </c>
      <c r="AO24" s="290"/>
      <c r="AP24" s="288"/>
      <c r="AQ24" s="288"/>
      <c r="AR24" s="288"/>
      <c r="AS24" s="291" t="str">
        <f t="shared" si="8"/>
        <v/>
      </c>
      <c r="AT24" s="292">
        <f t="shared" si="9"/>
        <v>0</v>
      </c>
      <c r="AU24" s="293">
        <f t="shared" si="10"/>
        <v>0</v>
      </c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</row>
    <row r="25" ht="18.0" customHeight="1">
      <c r="A25" s="284">
        <v>15.0</v>
      </c>
      <c r="B25" s="294"/>
      <c r="C25" s="286"/>
      <c r="D25" s="286"/>
      <c r="E25" s="286"/>
      <c r="F25" s="287"/>
      <c r="G25" s="288"/>
      <c r="H25" s="288"/>
      <c r="I25" s="288"/>
      <c r="J25" s="289" t="str">
        <f t="shared" si="1"/>
        <v/>
      </c>
      <c r="K25" s="290"/>
      <c r="L25" s="288"/>
      <c r="M25" s="288"/>
      <c r="N25" s="288"/>
      <c r="O25" s="291" t="str">
        <f t="shared" si="2"/>
        <v/>
      </c>
      <c r="P25" s="287"/>
      <c r="Q25" s="288"/>
      <c r="R25" s="288"/>
      <c r="S25" s="288"/>
      <c r="T25" s="289" t="str">
        <f t="shared" si="3"/>
        <v/>
      </c>
      <c r="U25" s="290"/>
      <c r="V25" s="288"/>
      <c r="W25" s="288"/>
      <c r="X25" s="288"/>
      <c r="Y25" s="291" t="str">
        <f t="shared" si="4"/>
        <v/>
      </c>
      <c r="Z25" s="287"/>
      <c r="AA25" s="288"/>
      <c r="AB25" s="288"/>
      <c r="AC25" s="288"/>
      <c r="AD25" s="289" t="str">
        <f t="shared" si="5"/>
        <v/>
      </c>
      <c r="AE25" s="290"/>
      <c r="AF25" s="288"/>
      <c r="AG25" s="288"/>
      <c r="AH25" s="288"/>
      <c r="AI25" s="291" t="str">
        <f t="shared" si="6"/>
        <v/>
      </c>
      <c r="AJ25" s="287"/>
      <c r="AK25" s="288"/>
      <c r="AL25" s="288"/>
      <c r="AM25" s="288"/>
      <c r="AN25" s="289" t="str">
        <f t="shared" si="7"/>
        <v/>
      </c>
      <c r="AO25" s="290"/>
      <c r="AP25" s="288"/>
      <c r="AQ25" s="288"/>
      <c r="AR25" s="288"/>
      <c r="AS25" s="291" t="str">
        <f t="shared" si="8"/>
        <v/>
      </c>
      <c r="AT25" s="292">
        <f t="shared" si="9"/>
        <v>0</v>
      </c>
      <c r="AU25" s="293">
        <f t="shared" si="10"/>
        <v>0</v>
      </c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0"/>
      <c r="BK25" s="260"/>
      <c r="BL25" s="260"/>
      <c r="BM25" s="260"/>
      <c r="BN25" s="260"/>
      <c r="BO25" s="260"/>
    </row>
    <row r="26" ht="18.0" customHeight="1">
      <c r="A26" s="284">
        <v>16.0</v>
      </c>
      <c r="B26" s="294"/>
      <c r="C26" s="286"/>
      <c r="D26" s="286"/>
      <c r="E26" s="286"/>
      <c r="F26" s="287"/>
      <c r="G26" s="288"/>
      <c r="H26" s="288"/>
      <c r="I26" s="288"/>
      <c r="J26" s="289" t="str">
        <f t="shared" si="1"/>
        <v/>
      </c>
      <c r="K26" s="290"/>
      <c r="L26" s="288"/>
      <c r="M26" s="288"/>
      <c r="N26" s="288"/>
      <c r="O26" s="291" t="str">
        <f t="shared" si="2"/>
        <v/>
      </c>
      <c r="P26" s="287"/>
      <c r="Q26" s="288"/>
      <c r="R26" s="288"/>
      <c r="S26" s="288"/>
      <c r="T26" s="289" t="str">
        <f t="shared" si="3"/>
        <v/>
      </c>
      <c r="U26" s="290"/>
      <c r="V26" s="288"/>
      <c r="W26" s="288"/>
      <c r="X26" s="288"/>
      <c r="Y26" s="291" t="str">
        <f t="shared" si="4"/>
        <v/>
      </c>
      <c r="Z26" s="287"/>
      <c r="AA26" s="288"/>
      <c r="AB26" s="288"/>
      <c r="AC26" s="288"/>
      <c r="AD26" s="289" t="str">
        <f t="shared" si="5"/>
        <v/>
      </c>
      <c r="AE26" s="290"/>
      <c r="AF26" s="288"/>
      <c r="AG26" s="288"/>
      <c r="AH26" s="288"/>
      <c r="AI26" s="291" t="str">
        <f t="shared" si="6"/>
        <v/>
      </c>
      <c r="AJ26" s="287"/>
      <c r="AK26" s="288"/>
      <c r="AL26" s="288"/>
      <c r="AM26" s="288"/>
      <c r="AN26" s="289" t="str">
        <f t="shared" si="7"/>
        <v/>
      </c>
      <c r="AO26" s="290"/>
      <c r="AP26" s="288"/>
      <c r="AQ26" s="288"/>
      <c r="AR26" s="288"/>
      <c r="AS26" s="291" t="str">
        <f t="shared" si="8"/>
        <v/>
      </c>
      <c r="AT26" s="292">
        <f t="shared" si="9"/>
        <v>0</v>
      </c>
      <c r="AU26" s="293">
        <f t="shared" si="10"/>
        <v>0</v>
      </c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</row>
    <row r="27" ht="18.0" customHeight="1">
      <c r="A27" s="284">
        <v>17.0</v>
      </c>
      <c r="B27" s="294"/>
      <c r="C27" s="286"/>
      <c r="D27" s="286"/>
      <c r="E27" s="286"/>
      <c r="F27" s="287"/>
      <c r="G27" s="288"/>
      <c r="H27" s="288"/>
      <c r="I27" s="288"/>
      <c r="J27" s="289" t="str">
        <f t="shared" si="1"/>
        <v/>
      </c>
      <c r="K27" s="290"/>
      <c r="L27" s="288"/>
      <c r="M27" s="288"/>
      <c r="N27" s="288"/>
      <c r="O27" s="291" t="str">
        <f t="shared" si="2"/>
        <v/>
      </c>
      <c r="P27" s="287"/>
      <c r="Q27" s="288"/>
      <c r="R27" s="288"/>
      <c r="S27" s="288"/>
      <c r="T27" s="289" t="str">
        <f t="shared" si="3"/>
        <v/>
      </c>
      <c r="U27" s="290"/>
      <c r="V27" s="288"/>
      <c r="W27" s="288"/>
      <c r="X27" s="288"/>
      <c r="Y27" s="291" t="str">
        <f t="shared" si="4"/>
        <v/>
      </c>
      <c r="Z27" s="287"/>
      <c r="AA27" s="288"/>
      <c r="AB27" s="288"/>
      <c r="AC27" s="288"/>
      <c r="AD27" s="289" t="str">
        <f t="shared" si="5"/>
        <v/>
      </c>
      <c r="AE27" s="290"/>
      <c r="AF27" s="288"/>
      <c r="AG27" s="288"/>
      <c r="AH27" s="288"/>
      <c r="AI27" s="291" t="str">
        <f t="shared" si="6"/>
        <v/>
      </c>
      <c r="AJ27" s="287"/>
      <c r="AK27" s="288"/>
      <c r="AL27" s="288"/>
      <c r="AM27" s="288"/>
      <c r="AN27" s="289" t="str">
        <f t="shared" si="7"/>
        <v/>
      </c>
      <c r="AO27" s="290"/>
      <c r="AP27" s="288"/>
      <c r="AQ27" s="288"/>
      <c r="AR27" s="288"/>
      <c r="AS27" s="291" t="str">
        <f t="shared" si="8"/>
        <v/>
      </c>
      <c r="AT27" s="292">
        <f t="shared" si="9"/>
        <v>0</v>
      </c>
      <c r="AU27" s="293">
        <f t="shared" si="10"/>
        <v>0</v>
      </c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</row>
    <row r="28" ht="18.0" customHeight="1">
      <c r="A28" s="295"/>
      <c r="B28" s="296" t="s">
        <v>172</v>
      </c>
      <c r="C28" s="297"/>
      <c r="D28" s="297"/>
      <c r="E28" s="297"/>
      <c r="F28" s="298"/>
      <c r="G28" s="299"/>
      <c r="H28" s="299"/>
      <c r="I28" s="299"/>
      <c r="J28" s="300" t="str">
        <f t="shared" si="1"/>
        <v/>
      </c>
      <c r="K28" s="301"/>
      <c r="L28" s="299"/>
      <c r="M28" s="299"/>
      <c r="N28" s="299"/>
      <c r="O28" s="302" t="str">
        <f t="shared" si="2"/>
        <v/>
      </c>
      <c r="P28" s="298"/>
      <c r="Q28" s="299"/>
      <c r="R28" s="299"/>
      <c r="S28" s="299"/>
      <c r="T28" s="300" t="str">
        <f t="shared" si="3"/>
        <v/>
      </c>
      <c r="U28" s="301"/>
      <c r="V28" s="299"/>
      <c r="W28" s="299"/>
      <c r="X28" s="299"/>
      <c r="Y28" s="302" t="str">
        <f t="shared" si="4"/>
        <v/>
      </c>
      <c r="Z28" s="298"/>
      <c r="AA28" s="299"/>
      <c r="AB28" s="299"/>
      <c r="AC28" s="299"/>
      <c r="AD28" s="300" t="str">
        <f t="shared" si="5"/>
        <v/>
      </c>
      <c r="AE28" s="301"/>
      <c r="AF28" s="299"/>
      <c r="AG28" s="299"/>
      <c r="AH28" s="299"/>
      <c r="AI28" s="302" t="str">
        <f t="shared" si="6"/>
        <v/>
      </c>
      <c r="AJ28" s="298"/>
      <c r="AK28" s="299"/>
      <c r="AL28" s="299"/>
      <c r="AM28" s="299"/>
      <c r="AN28" s="300" t="str">
        <f t="shared" si="7"/>
        <v/>
      </c>
      <c r="AO28" s="301"/>
      <c r="AP28" s="299"/>
      <c r="AQ28" s="299"/>
      <c r="AR28" s="299"/>
      <c r="AS28" s="302" t="str">
        <f t="shared" si="8"/>
        <v/>
      </c>
      <c r="AT28" s="303">
        <f t="shared" si="9"/>
        <v>0</v>
      </c>
      <c r="AU28" s="304">
        <f t="shared" si="10"/>
        <v>0</v>
      </c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</row>
    <row r="29" ht="18.0" customHeight="1">
      <c r="A29" s="305">
        <v>1.0</v>
      </c>
      <c r="B29" s="306"/>
      <c r="C29" s="307"/>
      <c r="D29" s="307"/>
      <c r="E29" s="307"/>
      <c r="F29" s="308"/>
      <c r="G29" s="309"/>
      <c r="H29" s="309"/>
      <c r="I29" s="309"/>
      <c r="J29" s="310" t="str">
        <f t="shared" si="1"/>
        <v/>
      </c>
      <c r="K29" s="311"/>
      <c r="L29" s="309"/>
      <c r="M29" s="309"/>
      <c r="N29" s="309"/>
      <c r="O29" s="312" t="str">
        <f t="shared" si="2"/>
        <v/>
      </c>
      <c r="P29" s="308"/>
      <c r="Q29" s="309"/>
      <c r="R29" s="309"/>
      <c r="S29" s="309"/>
      <c r="T29" s="310" t="str">
        <f t="shared" si="3"/>
        <v/>
      </c>
      <c r="U29" s="311"/>
      <c r="V29" s="309"/>
      <c r="W29" s="309"/>
      <c r="X29" s="309"/>
      <c r="Y29" s="312" t="str">
        <f t="shared" si="4"/>
        <v/>
      </c>
      <c r="Z29" s="308"/>
      <c r="AA29" s="309"/>
      <c r="AB29" s="309"/>
      <c r="AC29" s="309"/>
      <c r="AD29" s="310" t="str">
        <f t="shared" si="5"/>
        <v/>
      </c>
      <c r="AE29" s="311"/>
      <c r="AF29" s="309"/>
      <c r="AG29" s="309"/>
      <c r="AH29" s="309"/>
      <c r="AI29" s="312" t="str">
        <f t="shared" si="6"/>
        <v/>
      </c>
      <c r="AJ29" s="308"/>
      <c r="AK29" s="309"/>
      <c r="AL29" s="309"/>
      <c r="AM29" s="309"/>
      <c r="AN29" s="310" t="str">
        <f t="shared" si="7"/>
        <v/>
      </c>
      <c r="AO29" s="311"/>
      <c r="AP29" s="309"/>
      <c r="AQ29" s="309"/>
      <c r="AR29" s="309"/>
      <c r="AS29" s="312" t="str">
        <f t="shared" si="8"/>
        <v/>
      </c>
      <c r="AT29" s="313">
        <f t="shared" si="9"/>
        <v>0</v>
      </c>
      <c r="AU29" s="314">
        <f t="shared" si="10"/>
        <v>0</v>
      </c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</row>
    <row r="30" ht="18.0" customHeight="1">
      <c r="A30" s="284">
        <v>2.0</v>
      </c>
      <c r="B30" s="294"/>
      <c r="C30" s="286"/>
      <c r="D30" s="286"/>
      <c r="E30" s="286"/>
      <c r="F30" s="308"/>
      <c r="G30" s="309"/>
      <c r="H30" s="309"/>
      <c r="I30" s="309"/>
      <c r="J30" s="289" t="str">
        <f t="shared" si="1"/>
        <v/>
      </c>
      <c r="K30" s="311"/>
      <c r="L30" s="309"/>
      <c r="M30" s="309"/>
      <c r="N30" s="309"/>
      <c r="O30" s="291" t="str">
        <f t="shared" si="2"/>
        <v/>
      </c>
      <c r="P30" s="308"/>
      <c r="Q30" s="309"/>
      <c r="R30" s="309"/>
      <c r="S30" s="309"/>
      <c r="T30" s="289" t="str">
        <f t="shared" si="3"/>
        <v/>
      </c>
      <c r="U30" s="311"/>
      <c r="V30" s="309"/>
      <c r="W30" s="309"/>
      <c r="X30" s="309"/>
      <c r="Y30" s="291" t="str">
        <f t="shared" si="4"/>
        <v/>
      </c>
      <c r="Z30" s="308"/>
      <c r="AA30" s="309"/>
      <c r="AB30" s="309"/>
      <c r="AC30" s="309"/>
      <c r="AD30" s="289" t="str">
        <f t="shared" si="5"/>
        <v/>
      </c>
      <c r="AE30" s="311"/>
      <c r="AF30" s="309"/>
      <c r="AG30" s="309"/>
      <c r="AH30" s="309"/>
      <c r="AI30" s="291" t="str">
        <f t="shared" si="6"/>
        <v/>
      </c>
      <c r="AJ30" s="308"/>
      <c r="AK30" s="309"/>
      <c r="AL30" s="309"/>
      <c r="AM30" s="309"/>
      <c r="AN30" s="289" t="str">
        <f t="shared" si="7"/>
        <v/>
      </c>
      <c r="AO30" s="311"/>
      <c r="AP30" s="309"/>
      <c r="AQ30" s="309"/>
      <c r="AR30" s="309"/>
      <c r="AS30" s="291" t="str">
        <f t="shared" si="8"/>
        <v/>
      </c>
      <c r="AT30" s="292">
        <f t="shared" si="9"/>
        <v>0</v>
      </c>
      <c r="AU30" s="293">
        <f t="shared" si="10"/>
        <v>0</v>
      </c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</row>
    <row r="31" ht="18.0" customHeight="1">
      <c r="A31" s="284">
        <v>3.0</v>
      </c>
      <c r="B31" s="294"/>
      <c r="C31" s="286"/>
      <c r="D31" s="286"/>
      <c r="E31" s="286"/>
      <c r="F31" s="308"/>
      <c r="G31" s="309"/>
      <c r="H31" s="309"/>
      <c r="I31" s="309"/>
      <c r="J31" s="289" t="str">
        <f t="shared" si="1"/>
        <v/>
      </c>
      <c r="K31" s="311"/>
      <c r="L31" s="309"/>
      <c r="M31" s="309"/>
      <c r="N31" s="309"/>
      <c r="O31" s="291" t="str">
        <f t="shared" si="2"/>
        <v/>
      </c>
      <c r="P31" s="308"/>
      <c r="Q31" s="309"/>
      <c r="R31" s="309"/>
      <c r="S31" s="309"/>
      <c r="T31" s="289" t="str">
        <f t="shared" si="3"/>
        <v/>
      </c>
      <c r="U31" s="311"/>
      <c r="V31" s="309"/>
      <c r="W31" s="309"/>
      <c r="X31" s="309"/>
      <c r="Y31" s="291" t="str">
        <f t="shared" si="4"/>
        <v/>
      </c>
      <c r="Z31" s="308"/>
      <c r="AA31" s="309"/>
      <c r="AB31" s="309"/>
      <c r="AC31" s="309"/>
      <c r="AD31" s="289" t="str">
        <f t="shared" si="5"/>
        <v/>
      </c>
      <c r="AE31" s="311"/>
      <c r="AF31" s="309"/>
      <c r="AG31" s="309"/>
      <c r="AH31" s="309"/>
      <c r="AI31" s="291" t="str">
        <f t="shared" si="6"/>
        <v/>
      </c>
      <c r="AJ31" s="308"/>
      <c r="AK31" s="309"/>
      <c r="AL31" s="309"/>
      <c r="AM31" s="309"/>
      <c r="AN31" s="289" t="str">
        <f t="shared" si="7"/>
        <v/>
      </c>
      <c r="AO31" s="311"/>
      <c r="AP31" s="309"/>
      <c r="AQ31" s="309"/>
      <c r="AR31" s="309"/>
      <c r="AS31" s="291" t="str">
        <f t="shared" si="8"/>
        <v/>
      </c>
      <c r="AT31" s="292">
        <f t="shared" si="9"/>
        <v>0</v>
      </c>
      <c r="AU31" s="293">
        <f t="shared" si="10"/>
        <v>0</v>
      </c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</row>
    <row r="32" ht="18.0" customHeight="1">
      <c r="A32" s="284">
        <v>4.0</v>
      </c>
      <c r="B32" s="294"/>
      <c r="C32" s="286"/>
      <c r="D32" s="286"/>
      <c r="E32" s="286"/>
      <c r="F32" s="308"/>
      <c r="G32" s="309"/>
      <c r="H32" s="309"/>
      <c r="I32" s="309"/>
      <c r="J32" s="289" t="str">
        <f t="shared" si="1"/>
        <v/>
      </c>
      <c r="K32" s="311"/>
      <c r="L32" s="309"/>
      <c r="M32" s="309"/>
      <c r="N32" s="309"/>
      <c r="O32" s="291" t="str">
        <f t="shared" si="2"/>
        <v/>
      </c>
      <c r="P32" s="308"/>
      <c r="Q32" s="309"/>
      <c r="R32" s="309"/>
      <c r="S32" s="309"/>
      <c r="T32" s="289" t="str">
        <f t="shared" si="3"/>
        <v/>
      </c>
      <c r="U32" s="311"/>
      <c r="V32" s="309"/>
      <c r="W32" s="309"/>
      <c r="X32" s="309"/>
      <c r="Y32" s="291" t="str">
        <f t="shared" si="4"/>
        <v/>
      </c>
      <c r="Z32" s="308"/>
      <c r="AA32" s="309"/>
      <c r="AB32" s="309"/>
      <c r="AC32" s="309"/>
      <c r="AD32" s="289" t="str">
        <f t="shared" si="5"/>
        <v/>
      </c>
      <c r="AE32" s="311"/>
      <c r="AF32" s="309"/>
      <c r="AG32" s="309"/>
      <c r="AH32" s="309"/>
      <c r="AI32" s="291" t="str">
        <f t="shared" si="6"/>
        <v/>
      </c>
      <c r="AJ32" s="308"/>
      <c r="AK32" s="309"/>
      <c r="AL32" s="309"/>
      <c r="AM32" s="309"/>
      <c r="AN32" s="289" t="str">
        <f t="shared" si="7"/>
        <v/>
      </c>
      <c r="AO32" s="311"/>
      <c r="AP32" s="309"/>
      <c r="AQ32" s="309"/>
      <c r="AR32" s="309"/>
      <c r="AS32" s="291" t="str">
        <f t="shared" si="8"/>
        <v/>
      </c>
      <c r="AT32" s="292">
        <f t="shared" si="9"/>
        <v>0</v>
      </c>
      <c r="AU32" s="293">
        <f t="shared" si="10"/>
        <v>0</v>
      </c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</row>
    <row r="33" ht="18.0" customHeight="1">
      <c r="A33" s="284">
        <v>5.0</v>
      </c>
      <c r="B33" s="294"/>
      <c r="C33" s="286"/>
      <c r="D33" s="286"/>
      <c r="E33" s="286"/>
      <c r="F33" s="308"/>
      <c r="G33" s="309"/>
      <c r="H33" s="309"/>
      <c r="I33" s="309"/>
      <c r="J33" s="289" t="str">
        <f t="shared" si="1"/>
        <v/>
      </c>
      <c r="K33" s="311"/>
      <c r="L33" s="309"/>
      <c r="M33" s="309"/>
      <c r="N33" s="309"/>
      <c r="O33" s="291" t="str">
        <f t="shared" si="2"/>
        <v/>
      </c>
      <c r="P33" s="308"/>
      <c r="Q33" s="309"/>
      <c r="R33" s="309"/>
      <c r="S33" s="309"/>
      <c r="T33" s="289" t="str">
        <f t="shared" si="3"/>
        <v/>
      </c>
      <c r="U33" s="311"/>
      <c r="V33" s="309"/>
      <c r="W33" s="309"/>
      <c r="X33" s="309"/>
      <c r="Y33" s="291" t="str">
        <f t="shared" si="4"/>
        <v/>
      </c>
      <c r="Z33" s="308"/>
      <c r="AA33" s="309"/>
      <c r="AB33" s="309"/>
      <c r="AC33" s="309"/>
      <c r="AD33" s="289" t="str">
        <f t="shared" si="5"/>
        <v/>
      </c>
      <c r="AE33" s="311"/>
      <c r="AF33" s="309"/>
      <c r="AG33" s="309"/>
      <c r="AH33" s="309"/>
      <c r="AI33" s="291" t="str">
        <f t="shared" si="6"/>
        <v/>
      </c>
      <c r="AJ33" s="308"/>
      <c r="AK33" s="309"/>
      <c r="AL33" s="309"/>
      <c r="AM33" s="309"/>
      <c r="AN33" s="289" t="str">
        <f t="shared" si="7"/>
        <v/>
      </c>
      <c r="AO33" s="311"/>
      <c r="AP33" s="309"/>
      <c r="AQ33" s="309"/>
      <c r="AR33" s="309"/>
      <c r="AS33" s="291" t="str">
        <f t="shared" si="8"/>
        <v/>
      </c>
      <c r="AT33" s="292">
        <f t="shared" si="9"/>
        <v>0</v>
      </c>
      <c r="AU33" s="293">
        <f t="shared" si="10"/>
        <v>0</v>
      </c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</row>
    <row r="34" ht="18.0" customHeight="1">
      <c r="A34" s="284">
        <v>6.0</v>
      </c>
      <c r="B34" s="294"/>
      <c r="C34" s="286"/>
      <c r="D34" s="286"/>
      <c r="E34" s="286"/>
      <c r="F34" s="308"/>
      <c r="G34" s="309"/>
      <c r="H34" s="309"/>
      <c r="I34" s="309"/>
      <c r="J34" s="289" t="str">
        <f t="shared" si="1"/>
        <v/>
      </c>
      <c r="K34" s="311"/>
      <c r="L34" s="309"/>
      <c r="M34" s="309"/>
      <c r="N34" s="309"/>
      <c r="O34" s="291" t="str">
        <f t="shared" si="2"/>
        <v/>
      </c>
      <c r="P34" s="308"/>
      <c r="Q34" s="309"/>
      <c r="R34" s="309"/>
      <c r="S34" s="309"/>
      <c r="T34" s="289" t="str">
        <f t="shared" si="3"/>
        <v/>
      </c>
      <c r="U34" s="311"/>
      <c r="V34" s="309"/>
      <c r="W34" s="309"/>
      <c r="X34" s="309"/>
      <c r="Y34" s="291" t="str">
        <f t="shared" si="4"/>
        <v/>
      </c>
      <c r="Z34" s="308"/>
      <c r="AA34" s="309"/>
      <c r="AB34" s="309"/>
      <c r="AC34" s="309"/>
      <c r="AD34" s="289" t="str">
        <f t="shared" si="5"/>
        <v/>
      </c>
      <c r="AE34" s="311"/>
      <c r="AF34" s="309"/>
      <c r="AG34" s="309"/>
      <c r="AH34" s="309"/>
      <c r="AI34" s="291" t="str">
        <f t="shared" si="6"/>
        <v/>
      </c>
      <c r="AJ34" s="308"/>
      <c r="AK34" s="309"/>
      <c r="AL34" s="309"/>
      <c r="AM34" s="309"/>
      <c r="AN34" s="289" t="str">
        <f t="shared" si="7"/>
        <v/>
      </c>
      <c r="AO34" s="311"/>
      <c r="AP34" s="309"/>
      <c r="AQ34" s="309"/>
      <c r="AR34" s="309"/>
      <c r="AS34" s="291" t="str">
        <f t="shared" si="8"/>
        <v/>
      </c>
      <c r="AT34" s="292">
        <f t="shared" si="9"/>
        <v>0</v>
      </c>
      <c r="AU34" s="293">
        <f t="shared" si="10"/>
        <v>0</v>
      </c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</row>
    <row r="35" ht="18.0" customHeight="1">
      <c r="A35" s="284">
        <v>7.0</v>
      </c>
      <c r="B35" s="294"/>
      <c r="C35" s="286"/>
      <c r="D35" s="286"/>
      <c r="E35" s="286"/>
      <c r="F35" s="308"/>
      <c r="G35" s="309"/>
      <c r="H35" s="309"/>
      <c r="I35" s="309"/>
      <c r="J35" s="289" t="str">
        <f t="shared" si="1"/>
        <v/>
      </c>
      <c r="K35" s="311"/>
      <c r="L35" s="309"/>
      <c r="M35" s="309"/>
      <c r="N35" s="309"/>
      <c r="O35" s="291" t="str">
        <f t="shared" si="2"/>
        <v/>
      </c>
      <c r="P35" s="308"/>
      <c r="Q35" s="309"/>
      <c r="R35" s="309"/>
      <c r="S35" s="309"/>
      <c r="T35" s="289" t="str">
        <f t="shared" si="3"/>
        <v/>
      </c>
      <c r="U35" s="311"/>
      <c r="V35" s="309"/>
      <c r="W35" s="309"/>
      <c r="X35" s="309"/>
      <c r="Y35" s="291" t="str">
        <f t="shared" si="4"/>
        <v/>
      </c>
      <c r="Z35" s="308"/>
      <c r="AA35" s="309"/>
      <c r="AB35" s="309"/>
      <c r="AC35" s="309"/>
      <c r="AD35" s="289" t="str">
        <f t="shared" si="5"/>
        <v/>
      </c>
      <c r="AE35" s="311"/>
      <c r="AF35" s="309"/>
      <c r="AG35" s="309"/>
      <c r="AH35" s="309"/>
      <c r="AI35" s="291" t="str">
        <f t="shared" si="6"/>
        <v/>
      </c>
      <c r="AJ35" s="308"/>
      <c r="AK35" s="309"/>
      <c r="AL35" s="309"/>
      <c r="AM35" s="309"/>
      <c r="AN35" s="289" t="str">
        <f t="shared" si="7"/>
        <v/>
      </c>
      <c r="AO35" s="311"/>
      <c r="AP35" s="309"/>
      <c r="AQ35" s="309"/>
      <c r="AR35" s="309"/>
      <c r="AS35" s="291" t="str">
        <f t="shared" si="8"/>
        <v/>
      </c>
      <c r="AT35" s="292">
        <f t="shared" si="9"/>
        <v>0</v>
      </c>
      <c r="AU35" s="293">
        <f t="shared" si="10"/>
        <v>0</v>
      </c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</row>
    <row r="36" ht="18.0" customHeight="1">
      <c r="A36" s="284">
        <v>8.0</v>
      </c>
      <c r="B36" s="294"/>
      <c r="C36" s="286"/>
      <c r="D36" s="286"/>
      <c r="E36" s="286"/>
      <c r="F36" s="308"/>
      <c r="G36" s="309"/>
      <c r="H36" s="309"/>
      <c r="I36" s="309"/>
      <c r="J36" s="289" t="str">
        <f t="shared" si="1"/>
        <v/>
      </c>
      <c r="K36" s="311"/>
      <c r="L36" s="309"/>
      <c r="M36" s="309"/>
      <c r="N36" s="309"/>
      <c r="O36" s="291" t="str">
        <f t="shared" si="2"/>
        <v/>
      </c>
      <c r="P36" s="308"/>
      <c r="Q36" s="309"/>
      <c r="R36" s="309"/>
      <c r="S36" s="309"/>
      <c r="T36" s="289" t="str">
        <f t="shared" si="3"/>
        <v/>
      </c>
      <c r="U36" s="311"/>
      <c r="V36" s="309"/>
      <c r="W36" s="309"/>
      <c r="X36" s="309"/>
      <c r="Y36" s="291" t="str">
        <f t="shared" si="4"/>
        <v/>
      </c>
      <c r="Z36" s="308"/>
      <c r="AA36" s="309"/>
      <c r="AB36" s="309"/>
      <c r="AC36" s="309"/>
      <c r="AD36" s="289" t="str">
        <f t="shared" si="5"/>
        <v/>
      </c>
      <c r="AE36" s="311"/>
      <c r="AF36" s="309"/>
      <c r="AG36" s="309"/>
      <c r="AH36" s="309"/>
      <c r="AI36" s="291" t="str">
        <f t="shared" si="6"/>
        <v/>
      </c>
      <c r="AJ36" s="308"/>
      <c r="AK36" s="309"/>
      <c r="AL36" s="309"/>
      <c r="AM36" s="309"/>
      <c r="AN36" s="289" t="str">
        <f t="shared" si="7"/>
        <v/>
      </c>
      <c r="AO36" s="311"/>
      <c r="AP36" s="309"/>
      <c r="AQ36" s="309"/>
      <c r="AR36" s="309"/>
      <c r="AS36" s="291" t="str">
        <f t="shared" si="8"/>
        <v/>
      </c>
      <c r="AT36" s="292">
        <f t="shared" si="9"/>
        <v>0</v>
      </c>
      <c r="AU36" s="293">
        <f t="shared" si="10"/>
        <v>0</v>
      </c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</row>
    <row r="37" ht="18.0" customHeight="1">
      <c r="A37" s="284">
        <v>9.0</v>
      </c>
      <c r="B37" s="294"/>
      <c r="C37" s="286"/>
      <c r="D37" s="286"/>
      <c r="E37" s="286"/>
      <c r="F37" s="308"/>
      <c r="G37" s="309"/>
      <c r="H37" s="309"/>
      <c r="I37" s="309"/>
      <c r="J37" s="289" t="str">
        <f t="shared" si="1"/>
        <v/>
      </c>
      <c r="K37" s="311"/>
      <c r="L37" s="309"/>
      <c r="M37" s="309"/>
      <c r="N37" s="309"/>
      <c r="O37" s="291" t="str">
        <f t="shared" si="2"/>
        <v/>
      </c>
      <c r="P37" s="308"/>
      <c r="Q37" s="309"/>
      <c r="R37" s="309"/>
      <c r="S37" s="309"/>
      <c r="T37" s="289" t="str">
        <f t="shared" si="3"/>
        <v/>
      </c>
      <c r="U37" s="311"/>
      <c r="V37" s="309"/>
      <c r="W37" s="309"/>
      <c r="X37" s="309"/>
      <c r="Y37" s="291" t="str">
        <f t="shared" si="4"/>
        <v/>
      </c>
      <c r="Z37" s="308"/>
      <c r="AA37" s="309"/>
      <c r="AB37" s="309"/>
      <c r="AC37" s="309"/>
      <c r="AD37" s="289" t="str">
        <f t="shared" si="5"/>
        <v/>
      </c>
      <c r="AE37" s="311"/>
      <c r="AF37" s="309"/>
      <c r="AG37" s="309"/>
      <c r="AH37" s="309"/>
      <c r="AI37" s="291" t="str">
        <f t="shared" si="6"/>
        <v/>
      </c>
      <c r="AJ37" s="308"/>
      <c r="AK37" s="309"/>
      <c r="AL37" s="309"/>
      <c r="AM37" s="309"/>
      <c r="AN37" s="289" t="str">
        <f t="shared" si="7"/>
        <v/>
      </c>
      <c r="AO37" s="311"/>
      <c r="AP37" s="309"/>
      <c r="AQ37" s="309"/>
      <c r="AR37" s="309"/>
      <c r="AS37" s="291" t="str">
        <f t="shared" si="8"/>
        <v/>
      </c>
      <c r="AT37" s="292">
        <f t="shared" si="9"/>
        <v>0</v>
      </c>
      <c r="AU37" s="293">
        <f t="shared" si="10"/>
        <v>0</v>
      </c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0"/>
      <c r="BM37" s="260"/>
      <c r="BN37" s="260"/>
      <c r="BO37" s="260"/>
    </row>
    <row r="38" ht="18.0" customHeight="1">
      <c r="A38" s="284">
        <v>10.0</v>
      </c>
      <c r="B38" s="294"/>
      <c r="C38" s="286"/>
      <c r="D38" s="286"/>
      <c r="E38" s="286"/>
      <c r="F38" s="308"/>
      <c r="G38" s="309"/>
      <c r="H38" s="309"/>
      <c r="I38" s="309"/>
      <c r="J38" s="289" t="str">
        <f t="shared" si="1"/>
        <v/>
      </c>
      <c r="K38" s="311"/>
      <c r="L38" s="309"/>
      <c r="M38" s="309"/>
      <c r="N38" s="309"/>
      <c r="O38" s="291" t="str">
        <f t="shared" si="2"/>
        <v/>
      </c>
      <c r="P38" s="308"/>
      <c r="Q38" s="309"/>
      <c r="R38" s="309"/>
      <c r="S38" s="309"/>
      <c r="T38" s="289" t="str">
        <f t="shared" si="3"/>
        <v/>
      </c>
      <c r="U38" s="311"/>
      <c r="V38" s="309"/>
      <c r="W38" s="309"/>
      <c r="X38" s="309"/>
      <c r="Y38" s="291" t="str">
        <f t="shared" si="4"/>
        <v/>
      </c>
      <c r="Z38" s="308"/>
      <c r="AA38" s="309"/>
      <c r="AB38" s="309"/>
      <c r="AC38" s="309"/>
      <c r="AD38" s="289" t="str">
        <f t="shared" si="5"/>
        <v/>
      </c>
      <c r="AE38" s="311"/>
      <c r="AF38" s="309"/>
      <c r="AG38" s="309"/>
      <c r="AH38" s="309"/>
      <c r="AI38" s="291" t="str">
        <f t="shared" si="6"/>
        <v/>
      </c>
      <c r="AJ38" s="308"/>
      <c r="AK38" s="309"/>
      <c r="AL38" s="309"/>
      <c r="AM38" s="309"/>
      <c r="AN38" s="289" t="str">
        <f t="shared" si="7"/>
        <v/>
      </c>
      <c r="AO38" s="311"/>
      <c r="AP38" s="309"/>
      <c r="AQ38" s="309"/>
      <c r="AR38" s="309"/>
      <c r="AS38" s="291" t="str">
        <f t="shared" si="8"/>
        <v/>
      </c>
      <c r="AT38" s="292">
        <f t="shared" si="9"/>
        <v>0</v>
      </c>
      <c r="AU38" s="293">
        <f t="shared" si="10"/>
        <v>0</v>
      </c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</row>
    <row r="39" ht="18.0" customHeight="1">
      <c r="A39" s="284">
        <v>11.0</v>
      </c>
      <c r="B39" s="294"/>
      <c r="C39" s="286"/>
      <c r="D39" s="286"/>
      <c r="E39" s="286"/>
      <c r="F39" s="308"/>
      <c r="G39" s="309"/>
      <c r="H39" s="309"/>
      <c r="I39" s="309"/>
      <c r="J39" s="289" t="str">
        <f t="shared" si="1"/>
        <v/>
      </c>
      <c r="K39" s="311"/>
      <c r="L39" s="309"/>
      <c r="M39" s="309"/>
      <c r="N39" s="309"/>
      <c r="O39" s="291" t="str">
        <f t="shared" si="2"/>
        <v/>
      </c>
      <c r="P39" s="308"/>
      <c r="Q39" s="309"/>
      <c r="R39" s="309"/>
      <c r="S39" s="309"/>
      <c r="T39" s="289" t="str">
        <f t="shared" si="3"/>
        <v/>
      </c>
      <c r="U39" s="311"/>
      <c r="V39" s="309"/>
      <c r="W39" s="309"/>
      <c r="X39" s="309"/>
      <c r="Y39" s="291" t="str">
        <f t="shared" si="4"/>
        <v/>
      </c>
      <c r="Z39" s="308"/>
      <c r="AA39" s="309"/>
      <c r="AB39" s="309"/>
      <c r="AC39" s="309"/>
      <c r="AD39" s="289" t="str">
        <f t="shared" si="5"/>
        <v/>
      </c>
      <c r="AE39" s="311"/>
      <c r="AF39" s="309"/>
      <c r="AG39" s="309"/>
      <c r="AH39" s="309"/>
      <c r="AI39" s="291" t="str">
        <f t="shared" si="6"/>
        <v/>
      </c>
      <c r="AJ39" s="308"/>
      <c r="AK39" s="309"/>
      <c r="AL39" s="309"/>
      <c r="AM39" s="309"/>
      <c r="AN39" s="289" t="str">
        <f t="shared" si="7"/>
        <v/>
      </c>
      <c r="AO39" s="311"/>
      <c r="AP39" s="309"/>
      <c r="AQ39" s="309"/>
      <c r="AR39" s="309"/>
      <c r="AS39" s="291" t="str">
        <f t="shared" si="8"/>
        <v/>
      </c>
      <c r="AT39" s="292">
        <f t="shared" si="9"/>
        <v>0</v>
      </c>
      <c r="AU39" s="293">
        <f t="shared" si="10"/>
        <v>0</v>
      </c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</row>
    <row r="40" ht="18.0" customHeight="1">
      <c r="A40" s="284">
        <v>12.0</v>
      </c>
      <c r="B40" s="294"/>
      <c r="C40" s="286"/>
      <c r="D40" s="286"/>
      <c r="E40" s="286"/>
      <c r="F40" s="308"/>
      <c r="G40" s="309"/>
      <c r="H40" s="309"/>
      <c r="I40" s="309"/>
      <c r="J40" s="289" t="str">
        <f t="shared" si="1"/>
        <v/>
      </c>
      <c r="K40" s="311"/>
      <c r="L40" s="309"/>
      <c r="M40" s="309"/>
      <c r="N40" s="309"/>
      <c r="O40" s="291" t="str">
        <f t="shared" si="2"/>
        <v/>
      </c>
      <c r="P40" s="308"/>
      <c r="Q40" s="309"/>
      <c r="R40" s="309"/>
      <c r="S40" s="309"/>
      <c r="T40" s="289" t="str">
        <f t="shared" si="3"/>
        <v/>
      </c>
      <c r="U40" s="311"/>
      <c r="V40" s="309"/>
      <c r="W40" s="309"/>
      <c r="X40" s="309"/>
      <c r="Y40" s="291" t="str">
        <f t="shared" si="4"/>
        <v/>
      </c>
      <c r="Z40" s="308"/>
      <c r="AA40" s="309"/>
      <c r="AB40" s="309"/>
      <c r="AC40" s="309"/>
      <c r="AD40" s="289" t="str">
        <f t="shared" si="5"/>
        <v/>
      </c>
      <c r="AE40" s="311"/>
      <c r="AF40" s="309"/>
      <c r="AG40" s="309"/>
      <c r="AH40" s="309"/>
      <c r="AI40" s="291" t="str">
        <f t="shared" si="6"/>
        <v/>
      </c>
      <c r="AJ40" s="308"/>
      <c r="AK40" s="309"/>
      <c r="AL40" s="309"/>
      <c r="AM40" s="309"/>
      <c r="AN40" s="289" t="str">
        <f t="shared" si="7"/>
        <v/>
      </c>
      <c r="AO40" s="311"/>
      <c r="AP40" s="309"/>
      <c r="AQ40" s="309"/>
      <c r="AR40" s="309"/>
      <c r="AS40" s="291" t="str">
        <f t="shared" si="8"/>
        <v/>
      </c>
      <c r="AT40" s="292">
        <f t="shared" si="9"/>
        <v>0</v>
      </c>
      <c r="AU40" s="293">
        <f t="shared" si="10"/>
        <v>0</v>
      </c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</row>
    <row r="41" ht="18.0" customHeight="1">
      <c r="A41" s="284">
        <v>13.0</v>
      </c>
      <c r="B41" s="294"/>
      <c r="C41" s="286"/>
      <c r="D41" s="286"/>
      <c r="E41" s="286"/>
      <c r="F41" s="308"/>
      <c r="G41" s="309"/>
      <c r="H41" s="309"/>
      <c r="I41" s="309"/>
      <c r="J41" s="289" t="str">
        <f t="shared" si="1"/>
        <v/>
      </c>
      <c r="K41" s="311"/>
      <c r="L41" s="309"/>
      <c r="M41" s="309"/>
      <c r="N41" s="309"/>
      <c r="O41" s="291" t="str">
        <f t="shared" si="2"/>
        <v/>
      </c>
      <c r="P41" s="308"/>
      <c r="Q41" s="309"/>
      <c r="R41" s="309"/>
      <c r="S41" s="309"/>
      <c r="T41" s="289" t="str">
        <f t="shared" si="3"/>
        <v/>
      </c>
      <c r="U41" s="311"/>
      <c r="V41" s="309"/>
      <c r="W41" s="309"/>
      <c r="X41" s="309"/>
      <c r="Y41" s="291" t="str">
        <f t="shared" si="4"/>
        <v/>
      </c>
      <c r="Z41" s="308"/>
      <c r="AA41" s="309"/>
      <c r="AB41" s="309"/>
      <c r="AC41" s="309"/>
      <c r="AD41" s="289" t="str">
        <f t="shared" si="5"/>
        <v/>
      </c>
      <c r="AE41" s="311"/>
      <c r="AF41" s="309"/>
      <c r="AG41" s="309"/>
      <c r="AH41" s="309"/>
      <c r="AI41" s="291" t="str">
        <f t="shared" si="6"/>
        <v/>
      </c>
      <c r="AJ41" s="308"/>
      <c r="AK41" s="309"/>
      <c r="AL41" s="309"/>
      <c r="AM41" s="309"/>
      <c r="AN41" s="289" t="str">
        <f t="shared" si="7"/>
        <v/>
      </c>
      <c r="AO41" s="311"/>
      <c r="AP41" s="309"/>
      <c r="AQ41" s="309"/>
      <c r="AR41" s="309"/>
      <c r="AS41" s="291" t="str">
        <f t="shared" si="8"/>
        <v/>
      </c>
      <c r="AT41" s="292">
        <f t="shared" si="9"/>
        <v>0</v>
      </c>
      <c r="AU41" s="293">
        <f t="shared" si="10"/>
        <v>0</v>
      </c>
      <c r="AV41" s="260"/>
      <c r="AW41" s="260"/>
      <c r="AX41" s="260"/>
      <c r="AY41" s="260"/>
      <c r="AZ41" s="260"/>
      <c r="BA41" s="260"/>
      <c r="BB41" s="260"/>
      <c r="BC41" s="260"/>
      <c r="BD41" s="260"/>
      <c r="BE41" s="260"/>
      <c r="BF41" s="260"/>
      <c r="BG41" s="260"/>
      <c r="BH41" s="260"/>
      <c r="BI41" s="260"/>
      <c r="BJ41" s="260"/>
      <c r="BK41" s="260"/>
      <c r="BL41" s="260"/>
      <c r="BM41" s="260"/>
      <c r="BN41" s="260"/>
      <c r="BO41" s="260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/>
      <c r="AS42" s="230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6"/>
      <c r="AR43" s="6"/>
      <c r="AS43" s="230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230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6"/>
      <c r="AR45" s="6"/>
      <c r="AS45" s="230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6"/>
      <c r="AR46" s="6"/>
      <c r="AS46" s="230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6"/>
      <c r="AR47" s="6"/>
      <c r="AS47" s="230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6"/>
      <c r="AR48" s="6"/>
      <c r="AS48" s="230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6"/>
      <c r="AR49" s="6"/>
      <c r="AS49" s="230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6"/>
      <c r="AR50" s="6"/>
      <c r="AS50" s="230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6"/>
      <c r="AR51" s="6"/>
      <c r="AS51" s="230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6"/>
      <c r="AR52" s="6"/>
      <c r="AS52" s="230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230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6"/>
      <c r="AR54" s="6"/>
      <c r="AS54" s="230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6"/>
      <c r="AR55" s="6"/>
      <c r="AS55" s="230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6"/>
      <c r="AR56" s="6"/>
      <c r="AS56" s="230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6"/>
      <c r="AR57" s="6"/>
      <c r="AS57" s="230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6"/>
      <c r="AR58" s="6"/>
      <c r="AS58" s="230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230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230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6"/>
      <c r="AR61" s="6"/>
      <c r="AS61" s="230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6"/>
      <c r="AR62" s="6"/>
      <c r="AS62" s="230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6"/>
      <c r="AR63" s="6"/>
      <c r="AS63" s="230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6"/>
      <c r="AR64" s="6"/>
      <c r="AS64" s="230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6"/>
      <c r="AR65" s="6"/>
      <c r="AS65" s="230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230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230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6"/>
      <c r="AR68" s="6"/>
      <c r="AS68" s="230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6"/>
      <c r="AR69" s="6"/>
      <c r="AS69" s="230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6"/>
      <c r="AR70" s="6"/>
      <c r="AS70" s="230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6"/>
      <c r="AR71" s="6"/>
      <c r="AS71" s="230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6"/>
      <c r="AR72" s="6"/>
      <c r="AS72" s="230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230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6"/>
      <c r="AR74" s="6"/>
      <c r="AS74" s="230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230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6"/>
      <c r="AR76" s="6"/>
      <c r="AS76" s="230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230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6"/>
      <c r="AR78" s="6"/>
      <c r="AS78" s="230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/>
      <c r="AR79" s="6"/>
      <c r="AS79" s="230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230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6"/>
      <c r="AR81" s="6"/>
      <c r="AS81" s="230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6"/>
      <c r="AR82" s="6"/>
      <c r="AS82" s="230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6"/>
      <c r="AR83" s="6"/>
      <c r="AS83" s="230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6"/>
      <c r="AR84" s="6"/>
      <c r="AS84" s="230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6"/>
      <c r="AR85" s="6"/>
      <c r="AS85" s="230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6"/>
      <c r="AR86" s="6"/>
      <c r="AS86" s="230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6"/>
      <c r="AR87" s="6"/>
      <c r="AS87" s="230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6"/>
      <c r="AR88" s="6"/>
      <c r="AS88" s="230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6"/>
      <c r="AR89" s="6"/>
      <c r="AS89" s="230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6"/>
      <c r="AR90" s="6"/>
      <c r="AS90" s="230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6"/>
      <c r="AR91" s="6"/>
      <c r="AS91" s="230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6"/>
      <c r="AR92" s="6"/>
      <c r="AS92" s="230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6"/>
      <c r="AR93" s="6"/>
      <c r="AS93" s="230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6"/>
      <c r="AR94" s="6"/>
      <c r="AS94" s="230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230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6"/>
      <c r="AR96" s="6"/>
      <c r="AS96" s="230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6"/>
      <c r="AR97" s="6"/>
      <c r="AS97" s="230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6"/>
      <c r="AR98" s="6"/>
      <c r="AS98" s="230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6"/>
      <c r="AR99" s="6"/>
      <c r="AS99" s="230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6"/>
      <c r="AR100" s="6"/>
      <c r="AS100" s="230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6"/>
      <c r="AR101" s="6"/>
      <c r="AS101" s="230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230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230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/>
      <c r="AS104" s="230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6"/>
      <c r="AR105" s="6"/>
      <c r="AS105" s="230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6"/>
      <c r="AR106" s="6"/>
      <c r="AS106" s="230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6"/>
      <c r="AR107" s="6"/>
      <c r="AS107" s="230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6"/>
      <c r="AR108" s="6"/>
      <c r="AS108" s="230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6"/>
      <c r="AR109" s="6"/>
      <c r="AS109" s="230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6"/>
      <c r="AR110" s="6"/>
      <c r="AS110" s="230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6"/>
      <c r="AR111" s="6"/>
      <c r="AS111" s="230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6"/>
      <c r="AR112" s="6"/>
      <c r="AS112" s="230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6"/>
      <c r="AR113" s="6"/>
      <c r="AS113" s="230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6"/>
      <c r="AR114" s="6"/>
      <c r="AS114" s="230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6"/>
      <c r="AR115" s="6"/>
      <c r="AS115" s="230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6"/>
      <c r="AR116" s="6"/>
      <c r="AS116" s="230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230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6"/>
      <c r="AR118" s="6"/>
      <c r="AS118" s="230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230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230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6"/>
      <c r="AR121" s="6"/>
      <c r="AS121" s="230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230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230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6"/>
      <c r="AR124" s="6"/>
      <c r="AS124" s="230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/>
      <c r="AS125" s="230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6"/>
      <c r="AR126" s="6"/>
      <c r="AS126" s="230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6"/>
      <c r="AR127" s="6"/>
      <c r="AS127" s="230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6"/>
      <c r="AR128" s="6"/>
      <c r="AS128" s="230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6"/>
      <c r="AR129" s="6"/>
      <c r="AS129" s="230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6"/>
      <c r="AR130" s="6"/>
      <c r="AS130" s="230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6"/>
      <c r="AR131" s="6"/>
      <c r="AS131" s="230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6"/>
      <c r="AR132" s="6"/>
      <c r="AS132" s="230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6"/>
      <c r="AR133" s="6"/>
      <c r="AS133" s="230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6"/>
      <c r="AR134" s="6"/>
      <c r="AS134" s="230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6"/>
      <c r="AR135" s="6"/>
      <c r="AS135" s="230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6"/>
      <c r="AR136" s="6"/>
      <c r="AS136" s="230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230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230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6"/>
      <c r="AR139" s="6"/>
      <c r="AS139" s="230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6"/>
      <c r="AR140" s="6"/>
      <c r="AS140" s="230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6"/>
      <c r="AR141" s="6"/>
      <c r="AS141" s="230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6"/>
      <c r="AR142" s="6"/>
      <c r="AS142" s="230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230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6"/>
      <c r="AR144" s="6"/>
      <c r="AS144" s="230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6"/>
      <c r="AR145" s="6"/>
      <c r="AS145" s="230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6"/>
      <c r="AR146" s="6"/>
      <c r="AS146" s="230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6"/>
      <c r="AR147" s="6"/>
      <c r="AS147" s="230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230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230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6"/>
      <c r="AR150" s="6"/>
      <c r="AS150" s="230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6"/>
      <c r="AR151" s="6"/>
      <c r="AS151" s="230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6"/>
      <c r="AR152" s="6"/>
      <c r="AS152" s="230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6"/>
      <c r="AR153" s="6"/>
      <c r="AS153" s="230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6"/>
      <c r="AR154" s="6"/>
      <c r="AS154" s="230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6"/>
      <c r="AR155" s="6"/>
      <c r="AS155" s="230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230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230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6"/>
      <c r="AR158" s="6"/>
      <c r="AS158" s="230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230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6"/>
      <c r="AR160" s="6"/>
      <c r="AS160" s="230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6"/>
      <c r="AR161" s="6"/>
      <c r="AS161" s="230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6"/>
      <c r="AR162" s="6"/>
      <c r="AS162" s="230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6"/>
      <c r="AR163" s="6"/>
      <c r="AS163" s="230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230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230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230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6"/>
      <c r="AR167" s="6"/>
      <c r="AS167" s="230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6"/>
      <c r="AR168" s="6"/>
      <c r="AS168" s="230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6"/>
      <c r="AR169" s="6"/>
      <c r="AS169" s="230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6"/>
      <c r="AR170" s="6"/>
      <c r="AS170" s="230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6"/>
      <c r="AR171" s="6"/>
      <c r="AS171" s="230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230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6"/>
      <c r="AR173" s="6"/>
      <c r="AS173" s="230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6"/>
      <c r="AR174" s="6"/>
      <c r="AS174" s="230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230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6"/>
      <c r="AR176" s="6"/>
      <c r="AS176" s="230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6"/>
      <c r="AR177" s="6"/>
      <c r="AS177" s="230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6"/>
      <c r="AR178" s="6"/>
      <c r="AS178" s="230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6"/>
      <c r="AR179" s="6"/>
      <c r="AS179" s="230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230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6"/>
      <c r="AR181" s="6"/>
      <c r="AS181" s="230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6"/>
      <c r="AR182" s="6"/>
      <c r="AS182" s="230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230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230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6"/>
      <c r="AR185" s="6"/>
      <c r="AS185" s="230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230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6"/>
      <c r="AR187" s="6"/>
      <c r="AS187" s="230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6"/>
      <c r="AR188" s="6"/>
      <c r="AS188" s="230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6"/>
      <c r="AR189" s="6"/>
      <c r="AS189" s="230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/>
      <c r="AR190" s="6"/>
      <c r="AS190" s="230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6"/>
      <c r="AR191" s="6"/>
      <c r="AS191" s="230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230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6"/>
      <c r="AR193" s="6"/>
      <c r="AS193" s="230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6"/>
      <c r="AR194" s="6"/>
      <c r="AS194" s="230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6"/>
      <c r="AR195" s="6"/>
      <c r="AS195" s="230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6"/>
      <c r="AR196" s="6"/>
      <c r="AS196" s="230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6"/>
      <c r="AR197" s="6"/>
      <c r="AS197" s="230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6"/>
      <c r="AR198" s="6"/>
      <c r="AS198" s="230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6"/>
      <c r="AR199" s="6"/>
      <c r="AS199" s="230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6"/>
      <c r="AR200" s="6"/>
      <c r="AS200" s="230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6"/>
      <c r="AR201" s="6"/>
      <c r="AS201" s="230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230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6"/>
      <c r="AR203" s="6"/>
      <c r="AS203" s="230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230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6"/>
      <c r="AR205" s="6"/>
      <c r="AS205" s="230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230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6"/>
      <c r="AR207" s="6"/>
      <c r="AS207" s="230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6"/>
      <c r="AR208" s="6"/>
      <c r="AS208" s="230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6"/>
      <c r="AR209" s="6"/>
      <c r="AS209" s="230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6"/>
      <c r="AR210" s="6"/>
      <c r="AS210" s="230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230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6"/>
      <c r="AR212" s="6"/>
      <c r="AS212" s="230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6"/>
      <c r="AR213" s="6"/>
      <c r="AS213" s="230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6"/>
      <c r="AR214" s="6"/>
      <c r="AS214" s="230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6"/>
      <c r="AR215" s="6"/>
      <c r="AS215" s="230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6"/>
      <c r="AR216" s="6"/>
      <c r="AS216" s="230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6"/>
      <c r="AR217" s="6"/>
      <c r="AS217" s="230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6"/>
      <c r="AR218" s="6"/>
      <c r="AS218" s="230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6"/>
      <c r="AR219" s="6"/>
      <c r="AS219" s="230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6"/>
      <c r="AR220" s="6"/>
      <c r="AS220" s="230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6"/>
      <c r="AR221" s="6"/>
      <c r="AS221" s="230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6"/>
      <c r="AR222" s="6"/>
      <c r="AS222" s="230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6"/>
      <c r="AR223" s="6"/>
      <c r="AS223" s="230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6"/>
      <c r="AR224" s="6"/>
      <c r="AS224" s="230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6"/>
      <c r="AR225" s="6"/>
      <c r="AS225" s="230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6"/>
      <c r="AR226" s="6"/>
      <c r="AS226" s="230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6"/>
      <c r="AR227" s="6"/>
      <c r="AS227" s="230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6"/>
      <c r="AR228" s="6"/>
      <c r="AS228" s="230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230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6"/>
      <c r="AR230" s="6"/>
      <c r="AS230" s="230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6"/>
      <c r="AR231" s="6"/>
      <c r="AS231" s="230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6"/>
      <c r="AR232" s="6"/>
      <c r="AS232" s="230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6"/>
      <c r="AR233" s="6"/>
      <c r="AS233" s="230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6"/>
      <c r="AR234" s="6"/>
      <c r="AS234" s="230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6"/>
      <c r="AR235" s="6"/>
      <c r="AS235" s="230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230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6"/>
      <c r="AR237" s="6"/>
      <c r="AS237" s="230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6"/>
      <c r="AR238" s="6"/>
      <c r="AS238" s="230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6"/>
      <c r="AR239" s="6"/>
      <c r="AS239" s="230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6"/>
      <c r="AR240" s="6"/>
      <c r="AS240" s="230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6"/>
      <c r="AR241" s="6"/>
      <c r="AS241" s="230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6"/>
      <c r="AR242" s="6"/>
      <c r="AS242" s="230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230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6"/>
      <c r="AR244" s="6"/>
      <c r="AS244" s="230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230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230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6"/>
      <c r="AR247" s="6"/>
      <c r="AS247" s="230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6"/>
      <c r="AR248" s="6"/>
      <c r="AS248" s="230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6"/>
      <c r="AR249" s="6"/>
      <c r="AS249" s="230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230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6"/>
      <c r="AR251" s="6"/>
      <c r="AS251" s="230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230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6"/>
      <c r="AR253" s="6"/>
      <c r="AS253" s="230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6"/>
      <c r="AR254" s="6"/>
      <c r="AS254" s="230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6"/>
      <c r="AR255" s="6"/>
      <c r="AS255" s="230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6"/>
      <c r="AR256" s="6"/>
      <c r="AS256" s="230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6"/>
      <c r="AR257" s="6"/>
      <c r="AS257" s="230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6"/>
      <c r="AR258" s="6"/>
      <c r="AS258" s="230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6"/>
      <c r="AR259" s="6"/>
      <c r="AS259" s="230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6"/>
      <c r="AR260" s="6"/>
      <c r="AS260" s="230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6"/>
      <c r="AR261" s="6"/>
      <c r="AS261" s="230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6"/>
      <c r="AR262" s="6"/>
      <c r="AS262" s="230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6"/>
      <c r="AR263" s="6"/>
      <c r="AS263" s="230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6"/>
      <c r="AR264" s="6"/>
      <c r="AS264" s="230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6"/>
      <c r="AR265" s="6"/>
      <c r="AS265" s="230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6"/>
      <c r="AR266" s="6"/>
      <c r="AS266" s="230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6"/>
      <c r="AR267" s="6"/>
      <c r="AS267" s="230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6"/>
      <c r="AR268" s="6"/>
      <c r="AS268" s="230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6"/>
      <c r="AR269" s="6"/>
      <c r="AS269" s="230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6"/>
      <c r="AR270" s="6"/>
      <c r="AS270" s="230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6"/>
      <c r="AR271" s="6"/>
      <c r="AS271" s="230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6"/>
      <c r="AR272" s="6"/>
      <c r="AS272" s="230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6"/>
      <c r="AR273" s="6"/>
      <c r="AS273" s="230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6"/>
      <c r="AR274" s="6"/>
      <c r="AS274" s="230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6"/>
      <c r="AR275" s="6"/>
      <c r="AS275" s="230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6"/>
      <c r="AR276" s="6"/>
      <c r="AS276" s="230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6"/>
      <c r="AR277" s="6"/>
      <c r="AS277" s="230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6"/>
      <c r="AR278" s="6"/>
      <c r="AS278" s="230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6"/>
      <c r="AR279" s="6"/>
      <c r="AS279" s="230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6"/>
      <c r="AR280" s="6"/>
      <c r="AS280" s="230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6"/>
      <c r="AR281" s="6"/>
      <c r="AS281" s="230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6"/>
      <c r="AR282" s="6"/>
      <c r="AS282" s="230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6"/>
      <c r="AR283" s="6"/>
      <c r="AS283" s="230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6"/>
      <c r="AR284" s="6"/>
      <c r="AS284" s="230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6"/>
      <c r="AR285" s="6"/>
      <c r="AS285" s="230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6"/>
      <c r="AR286" s="6"/>
      <c r="AS286" s="230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6"/>
      <c r="AR287" s="6"/>
      <c r="AS287" s="230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6"/>
      <c r="AR288" s="6"/>
      <c r="AS288" s="230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6"/>
      <c r="AR289" s="6"/>
      <c r="AS289" s="230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6"/>
      <c r="AR290" s="6"/>
      <c r="AS290" s="230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6"/>
      <c r="AR291" s="6"/>
      <c r="AS291" s="230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6"/>
      <c r="AR292" s="6"/>
      <c r="AS292" s="230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6"/>
      <c r="AR293" s="6"/>
      <c r="AS293" s="230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6"/>
      <c r="AR294" s="6"/>
      <c r="AS294" s="230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6"/>
      <c r="AR295" s="6"/>
      <c r="AS295" s="230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6"/>
      <c r="AR296" s="6"/>
      <c r="AS296" s="230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6"/>
      <c r="AR297" s="6"/>
      <c r="AS297" s="230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6"/>
      <c r="AR298" s="6"/>
      <c r="AS298" s="230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6"/>
      <c r="AR299" s="6"/>
      <c r="AS299" s="230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6"/>
      <c r="AR300" s="6"/>
      <c r="AS300" s="230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6"/>
      <c r="AR301" s="6"/>
      <c r="AS301" s="230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6"/>
      <c r="AR302" s="6"/>
      <c r="AS302" s="230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6"/>
      <c r="AR303" s="6"/>
      <c r="AS303" s="230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6"/>
      <c r="AR304" s="6"/>
      <c r="AS304" s="230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6"/>
      <c r="AR305" s="6"/>
      <c r="AS305" s="230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6"/>
      <c r="AR306" s="6"/>
      <c r="AS306" s="230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6"/>
      <c r="AR307" s="6"/>
      <c r="AS307" s="230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6"/>
      <c r="AR308" s="6"/>
      <c r="AS308" s="230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6"/>
      <c r="AR309" s="6"/>
      <c r="AS309" s="230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6"/>
      <c r="AR310" s="6"/>
      <c r="AS310" s="230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6"/>
      <c r="AR311" s="6"/>
      <c r="AS311" s="230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6"/>
      <c r="AR312" s="6"/>
      <c r="AS312" s="230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6"/>
      <c r="AR313" s="6"/>
      <c r="AS313" s="230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6"/>
      <c r="AR314" s="6"/>
      <c r="AS314" s="230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6"/>
      <c r="AR315" s="6"/>
      <c r="AS315" s="230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6"/>
      <c r="AR316" s="6"/>
      <c r="AS316" s="230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6"/>
      <c r="AR317" s="6"/>
      <c r="AS317" s="230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6"/>
      <c r="AR318" s="6"/>
      <c r="AS318" s="230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6"/>
      <c r="AR319" s="6"/>
      <c r="AS319" s="230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6"/>
      <c r="AR320" s="6"/>
      <c r="AS320" s="230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6"/>
      <c r="AR321" s="6"/>
      <c r="AS321" s="230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6"/>
      <c r="AR322" s="6"/>
      <c r="AS322" s="230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6"/>
      <c r="AR323" s="6"/>
      <c r="AS323" s="230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6"/>
      <c r="AR324" s="6"/>
      <c r="AS324" s="230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6"/>
      <c r="AR325" s="6"/>
      <c r="AS325" s="230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6"/>
      <c r="AR326" s="6"/>
      <c r="AS326" s="230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6"/>
      <c r="AR327" s="6"/>
      <c r="AS327" s="230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6"/>
      <c r="AR328" s="6"/>
      <c r="AS328" s="230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6"/>
      <c r="AR329" s="6"/>
      <c r="AS329" s="230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6"/>
      <c r="AR330" s="6"/>
      <c r="AS330" s="230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6"/>
      <c r="AR331" s="6"/>
      <c r="AS331" s="230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6"/>
      <c r="AR332" s="6"/>
      <c r="AS332" s="230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6"/>
      <c r="AR333" s="6"/>
      <c r="AS333" s="230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6"/>
      <c r="AR334" s="6"/>
      <c r="AS334" s="230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6"/>
      <c r="AR335" s="6"/>
      <c r="AS335" s="230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6"/>
      <c r="AR336" s="6"/>
      <c r="AS336" s="230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6"/>
      <c r="AR337" s="6"/>
      <c r="AS337" s="230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6"/>
      <c r="AR338" s="6"/>
      <c r="AS338" s="230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6"/>
      <c r="AR339" s="6"/>
      <c r="AS339" s="230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6"/>
      <c r="AR340" s="6"/>
      <c r="AS340" s="230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6"/>
      <c r="AR341" s="6"/>
      <c r="AS341" s="230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6"/>
      <c r="AR342" s="6"/>
      <c r="AS342" s="230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6"/>
      <c r="AR343" s="6"/>
      <c r="AS343" s="230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6"/>
      <c r="AR344" s="6"/>
      <c r="AS344" s="230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6"/>
      <c r="AR345" s="6"/>
      <c r="AS345" s="230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6"/>
      <c r="AR346" s="6"/>
      <c r="AS346" s="230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6"/>
      <c r="AR347" s="6"/>
      <c r="AS347" s="230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6"/>
      <c r="AR348" s="6"/>
      <c r="AS348" s="230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6"/>
      <c r="AR349" s="6"/>
      <c r="AS349" s="230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6"/>
      <c r="AR350" s="6"/>
      <c r="AS350" s="230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6"/>
      <c r="AR351" s="6"/>
      <c r="AS351" s="230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6"/>
      <c r="AR352" s="6"/>
      <c r="AS352" s="230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6"/>
      <c r="AR353" s="6"/>
      <c r="AS353" s="230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6"/>
      <c r="AR354" s="6"/>
      <c r="AS354" s="230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6"/>
      <c r="AR355" s="6"/>
      <c r="AS355" s="230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6"/>
      <c r="AR356" s="6"/>
      <c r="AS356" s="230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6"/>
      <c r="AR357" s="6"/>
      <c r="AS357" s="230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6"/>
      <c r="AR358" s="6"/>
      <c r="AS358" s="230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6"/>
      <c r="AR359" s="6"/>
      <c r="AS359" s="230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6"/>
      <c r="AR360" s="6"/>
      <c r="AS360" s="230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6"/>
      <c r="AR361" s="6"/>
      <c r="AS361" s="230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6"/>
      <c r="AR362" s="6"/>
      <c r="AS362" s="230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6"/>
      <c r="AR363" s="6"/>
      <c r="AS363" s="230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6"/>
      <c r="AR364" s="6"/>
      <c r="AS364" s="230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6"/>
      <c r="AR365" s="6"/>
      <c r="AS365" s="230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6"/>
      <c r="AR366" s="6"/>
      <c r="AS366" s="230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6"/>
      <c r="AR367" s="6"/>
      <c r="AS367" s="230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6"/>
      <c r="AR368" s="6"/>
      <c r="AS368" s="230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6"/>
      <c r="AR369" s="6"/>
      <c r="AS369" s="230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6"/>
      <c r="AR370" s="6"/>
      <c r="AS370" s="230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6"/>
      <c r="AR371" s="6"/>
      <c r="AS371" s="230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6"/>
      <c r="AR372" s="6"/>
      <c r="AS372" s="230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6"/>
      <c r="AR373" s="6"/>
      <c r="AS373" s="230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6"/>
      <c r="AR374" s="6"/>
      <c r="AS374" s="230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6"/>
      <c r="AR375" s="6"/>
      <c r="AS375" s="230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6"/>
      <c r="AR376" s="6"/>
      <c r="AS376" s="230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6"/>
      <c r="AR377" s="6"/>
      <c r="AS377" s="230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6"/>
      <c r="AR378" s="6"/>
      <c r="AS378" s="230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6"/>
      <c r="AR379" s="6"/>
      <c r="AS379" s="230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6"/>
      <c r="AR380" s="6"/>
      <c r="AS380" s="230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6"/>
      <c r="AR381" s="6"/>
      <c r="AS381" s="230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6"/>
      <c r="AR382" s="6"/>
      <c r="AS382" s="230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6"/>
      <c r="AR383" s="6"/>
      <c r="AS383" s="230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6"/>
      <c r="AR384" s="6"/>
      <c r="AS384" s="230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6"/>
      <c r="AR385" s="6"/>
      <c r="AS385" s="230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6"/>
      <c r="AR386" s="6"/>
      <c r="AS386" s="230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6"/>
      <c r="AR387" s="6"/>
      <c r="AS387" s="230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6"/>
      <c r="AR388" s="6"/>
      <c r="AS388" s="230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6"/>
      <c r="AR389" s="6"/>
      <c r="AS389" s="230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6"/>
      <c r="AR390" s="6"/>
      <c r="AS390" s="230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6"/>
      <c r="AR391" s="6"/>
      <c r="AS391" s="230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6"/>
      <c r="AR392" s="6"/>
      <c r="AS392" s="230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6"/>
      <c r="AR393" s="6"/>
      <c r="AS393" s="230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6"/>
      <c r="AR394" s="6"/>
      <c r="AS394" s="230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6"/>
      <c r="AR395" s="6"/>
      <c r="AS395" s="230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6"/>
      <c r="AR396" s="6"/>
      <c r="AS396" s="230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6"/>
      <c r="AR397" s="6"/>
      <c r="AS397" s="230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6"/>
      <c r="AR398" s="6"/>
      <c r="AS398" s="230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6"/>
      <c r="AR399" s="6"/>
      <c r="AS399" s="230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6"/>
      <c r="AR400" s="6"/>
      <c r="AS400" s="230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6"/>
      <c r="AR401" s="6"/>
      <c r="AS401" s="230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6"/>
      <c r="AR402" s="6"/>
      <c r="AS402" s="230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6"/>
      <c r="AR403" s="6"/>
      <c r="AS403" s="230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6"/>
      <c r="AR404" s="6"/>
      <c r="AS404" s="230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6"/>
      <c r="AR405" s="6"/>
      <c r="AS405" s="230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6"/>
      <c r="AR406" s="6"/>
      <c r="AS406" s="230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6"/>
      <c r="AR407" s="6"/>
      <c r="AS407" s="230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6"/>
      <c r="AR408" s="6"/>
      <c r="AS408" s="230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6"/>
      <c r="AR409" s="6"/>
      <c r="AS409" s="230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6"/>
      <c r="AR410" s="6"/>
      <c r="AS410" s="230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6"/>
      <c r="AR411" s="6"/>
      <c r="AS411" s="230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6"/>
      <c r="AR412" s="6"/>
      <c r="AS412" s="230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6"/>
      <c r="AR413" s="6"/>
      <c r="AS413" s="230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6"/>
      <c r="AR414" s="6"/>
      <c r="AS414" s="230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6"/>
      <c r="AR415" s="6"/>
      <c r="AS415" s="230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6"/>
      <c r="AR416" s="6"/>
      <c r="AS416" s="230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6"/>
      <c r="AR417" s="6"/>
      <c r="AS417" s="230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6"/>
      <c r="AR418" s="6"/>
      <c r="AS418" s="230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6"/>
      <c r="AR419" s="6"/>
      <c r="AS419" s="230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6"/>
      <c r="AR420" s="6"/>
      <c r="AS420" s="230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6"/>
      <c r="AR421" s="6"/>
      <c r="AS421" s="230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6"/>
      <c r="AR422" s="6"/>
      <c r="AS422" s="230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6"/>
      <c r="AR423" s="6"/>
      <c r="AS423" s="230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6"/>
      <c r="AR424" s="6"/>
      <c r="AS424" s="230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6"/>
      <c r="AR425" s="6"/>
      <c r="AS425" s="230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6"/>
      <c r="AR426" s="6"/>
      <c r="AS426" s="230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6"/>
      <c r="AR427" s="6"/>
      <c r="AS427" s="230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6"/>
      <c r="AR428" s="6"/>
      <c r="AS428" s="230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6"/>
      <c r="AR429" s="6"/>
      <c r="AS429" s="230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6"/>
      <c r="AR430" s="6"/>
      <c r="AS430" s="230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6"/>
      <c r="AR431" s="6"/>
      <c r="AS431" s="230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6"/>
      <c r="AR432" s="6"/>
      <c r="AS432" s="230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6"/>
      <c r="AR433" s="6"/>
      <c r="AS433" s="230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6"/>
      <c r="AR434" s="6"/>
      <c r="AS434" s="230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6"/>
      <c r="AR435" s="6"/>
      <c r="AS435" s="230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6"/>
      <c r="AR436" s="6"/>
      <c r="AS436" s="230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6"/>
      <c r="AR437" s="6"/>
      <c r="AS437" s="230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6"/>
      <c r="AR438" s="6"/>
      <c r="AS438" s="230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6"/>
      <c r="AR439" s="6"/>
      <c r="AS439" s="230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6"/>
      <c r="AR440" s="6"/>
      <c r="AS440" s="230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6"/>
      <c r="AR441" s="6"/>
      <c r="AS441" s="230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6"/>
      <c r="AR442" s="6"/>
      <c r="AS442" s="230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6"/>
      <c r="AR443" s="6"/>
      <c r="AS443" s="230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6"/>
      <c r="AR444" s="6"/>
      <c r="AS444" s="230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6"/>
      <c r="AR445" s="6"/>
      <c r="AS445" s="230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6"/>
      <c r="AR446" s="6"/>
      <c r="AS446" s="230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6"/>
      <c r="AR447" s="6"/>
      <c r="AS447" s="230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6"/>
      <c r="AR448" s="6"/>
      <c r="AS448" s="230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6"/>
      <c r="AR449" s="6"/>
      <c r="AS449" s="230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6"/>
      <c r="AR450" s="6"/>
      <c r="AS450" s="230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6"/>
      <c r="AR451" s="6"/>
      <c r="AS451" s="230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6"/>
      <c r="AR452" s="6"/>
      <c r="AS452" s="230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6"/>
      <c r="AR453" s="6"/>
      <c r="AS453" s="230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6"/>
      <c r="AR454" s="6"/>
      <c r="AS454" s="230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6"/>
      <c r="AR455" s="6"/>
      <c r="AS455" s="230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6"/>
      <c r="AR456" s="6"/>
      <c r="AS456" s="230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6"/>
      <c r="AR457" s="6"/>
      <c r="AS457" s="230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6"/>
      <c r="AR458" s="6"/>
      <c r="AS458" s="230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6"/>
      <c r="AR459" s="6"/>
      <c r="AS459" s="230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6"/>
      <c r="AR460" s="6"/>
      <c r="AS460" s="230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6"/>
      <c r="AR461" s="6"/>
      <c r="AS461" s="230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6"/>
      <c r="AR462" s="6"/>
      <c r="AS462" s="230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6"/>
      <c r="AR463" s="6"/>
      <c r="AS463" s="230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6"/>
      <c r="AR464" s="6"/>
      <c r="AS464" s="230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6"/>
      <c r="AR465" s="6"/>
      <c r="AS465" s="230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6"/>
      <c r="AR466" s="6"/>
      <c r="AS466" s="230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6"/>
      <c r="AR467" s="6"/>
      <c r="AS467" s="230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6"/>
      <c r="AR468" s="6"/>
      <c r="AS468" s="230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6"/>
      <c r="AR469" s="6"/>
      <c r="AS469" s="230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6"/>
      <c r="AR470" s="6"/>
      <c r="AS470" s="230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6"/>
      <c r="AR471" s="6"/>
      <c r="AS471" s="230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6"/>
      <c r="AR472" s="6"/>
      <c r="AS472" s="230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6"/>
      <c r="AR473" s="6"/>
      <c r="AS473" s="230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6"/>
      <c r="AR474" s="6"/>
      <c r="AS474" s="230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6"/>
      <c r="AR475" s="6"/>
      <c r="AS475" s="230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6"/>
      <c r="AR476" s="6"/>
      <c r="AS476" s="230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6"/>
      <c r="AR477" s="6"/>
      <c r="AS477" s="230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6"/>
      <c r="AR478" s="6"/>
      <c r="AS478" s="230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6"/>
      <c r="AR479" s="6"/>
      <c r="AS479" s="230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6"/>
      <c r="AR480" s="6"/>
      <c r="AS480" s="230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6"/>
      <c r="AR481" s="6"/>
      <c r="AS481" s="230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6"/>
      <c r="AR482" s="6"/>
      <c r="AS482" s="230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6"/>
      <c r="AR483" s="6"/>
      <c r="AS483" s="230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6"/>
      <c r="AR484" s="6"/>
      <c r="AS484" s="230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6"/>
      <c r="AR485" s="6"/>
      <c r="AS485" s="230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6"/>
      <c r="AR486" s="6"/>
      <c r="AS486" s="230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6"/>
      <c r="AR487" s="6"/>
      <c r="AS487" s="230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6"/>
      <c r="AR488" s="6"/>
      <c r="AS488" s="230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6"/>
      <c r="AR489" s="6"/>
      <c r="AS489" s="230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6"/>
      <c r="AR490" s="6"/>
      <c r="AS490" s="230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6"/>
      <c r="AR491" s="6"/>
      <c r="AS491" s="230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6"/>
      <c r="AR492" s="6"/>
      <c r="AS492" s="230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6"/>
      <c r="AR493" s="6"/>
      <c r="AS493" s="230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6"/>
      <c r="AR494" s="6"/>
      <c r="AS494" s="230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6"/>
      <c r="AR495" s="6"/>
      <c r="AS495" s="230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6"/>
      <c r="AR496" s="6"/>
      <c r="AS496" s="230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6"/>
      <c r="AR497" s="6"/>
      <c r="AS497" s="230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6"/>
      <c r="AR498" s="6"/>
      <c r="AS498" s="230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6"/>
      <c r="AR499" s="6"/>
      <c r="AS499" s="230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6"/>
      <c r="AR500" s="6"/>
      <c r="AS500" s="230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6"/>
      <c r="AR501" s="6"/>
      <c r="AS501" s="230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6"/>
      <c r="AR502" s="6"/>
      <c r="AS502" s="230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6"/>
      <c r="AR503" s="6"/>
      <c r="AS503" s="230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6"/>
      <c r="AR504" s="6"/>
      <c r="AS504" s="230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6"/>
      <c r="AR505" s="6"/>
      <c r="AS505" s="230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6"/>
      <c r="AR506" s="6"/>
      <c r="AS506" s="230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6"/>
      <c r="AR507" s="6"/>
      <c r="AS507" s="230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6"/>
      <c r="AR508" s="6"/>
      <c r="AS508" s="230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6"/>
      <c r="AR509" s="6"/>
      <c r="AS509" s="230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6"/>
      <c r="AR510" s="6"/>
      <c r="AS510" s="230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6"/>
      <c r="AR511" s="6"/>
      <c r="AS511" s="230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6"/>
      <c r="AR512" s="6"/>
      <c r="AS512" s="230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6"/>
      <c r="AR513" s="6"/>
      <c r="AS513" s="230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6"/>
      <c r="AR514" s="6"/>
      <c r="AS514" s="230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6"/>
      <c r="AR515" s="6"/>
      <c r="AS515" s="230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6"/>
      <c r="AR516" s="6"/>
      <c r="AS516" s="230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6"/>
      <c r="AR517" s="6"/>
      <c r="AS517" s="230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6"/>
      <c r="AR518" s="6"/>
      <c r="AS518" s="230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6"/>
      <c r="AR519" s="6"/>
      <c r="AS519" s="230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6"/>
      <c r="AR520" s="6"/>
      <c r="AS520" s="230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6"/>
      <c r="AR521" s="6"/>
      <c r="AS521" s="230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6"/>
      <c r="AR522" s="6"/>
      <c r="AS522" s="230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6"/>
      <c r="AR523" s="6"/>
      <c r="AS523" s="230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6"/>
      <c r="AR524" s="6"/>
      <c r="AS524" s="230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6"/>
      <c r="AR525" s="6"/>
      <c r="AS525" s="230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6"/>
      <c r="AR526" s="6"/>
      <c r="AS526" s="230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6"/>
      <c r="AR527" s="6"/>
      <c r="AS527" s="230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6"/>
      <c r="AR528" s="6"/>
      <c r="AS528" s="230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6"/>
      <c r="AR529" s="6"/>
      <c r="AS529" s="230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6"/>
      <c r="AR530" s="6"/>
      <c r="AS530" s="230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6"/>
      <c r="AR531" s="6"/>
      <c r="AS531" s="230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6"/>
      <c r="AR532" s="6"/>
      <c r="AS532" s="230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6"/>
      <c r="AR533" s="6"/>
      <c r="AS533" s="230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6"/>
      <c r="AR534" s="6"/>
      <c r="AS534" s="230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6"/>
      <c r="AR535" s="6"/>
      <c r="AS535" s="230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6"/>
      <c r="AR536" s="6"/>
      <c r="AS536" s="230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6"/>
      <c r="AR537" s="6"/>
      <c r="AS537" s="230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6"/>
      <c r="AR538" s="6"/>
      <c r="AS538" s="230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6"/>
      <c r="AR539" s="6"/>
      <c r="AS539" s="230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6"/>
      <c r="AR540" s="6"/>
      <c r="AS540" s="230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6"/>
      <c r="AR541" s="6"/>
      <c r="AS541" s="230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6"/>
      <c r="AR542" s="6"/>
      <c r="AS542" s="230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6"/>
      <c r="AR543" s="6"/>
      <c r="AS543" s="230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6"/>
      <c r="AR544" s="6"/>
      <c r="AS544" s="230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6"/>
      <c r="AR545" s="6"/>
      <c r="AS545" s="230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6"/>
      <c r="AR546" s="6"/>
      <c r="AS546" s="230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6"/>
      <c r="AR547" s="6"/>
      <c r="AS547" s="230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6"/>
      <c r="AR548" s="6"/>
      <c r="AS548" s="230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6"/>
      <c r="AR549" s="6"/>
      <c r="AS549" s="230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6"/>
      <c r="AR550" s="6"/>
      <c r="AS550" s="230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6"/>
      <c r="AR551" s="6"/>
      <c r="AS551" s="230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6"/>
      <c r="AR552" s="6"/>
      <c r="AS552" s="230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6"/>
      <c r="AR553" s="6"/>
      <c r="AS553" s="230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6"/>
      <c r="AR554" s="6"/>
      <c r="AS554" s="230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6"/>
      <c r="AR555" s="6"/>
      <c r="AS555" s="230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6"/>
      <c r="AR556" s="6"/>
      <c r="AS556" s="230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6"/>
      <c r="AR557" s="6"/>
      <c r="AS557" s="230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6"/>
      <c r="AR558" s="6"/>
      <c r="AS558" s="230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6"/>
      <c r="AR559" s="6"/>
      <c r="AS559" s="230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6"/>
      <c r="AR560" s="6"/>
      <c r="AS560" s="230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6"/>
      <c r="AR561" s="6"/>
      <c r="AS561" s="230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6"/>
      <c r="AR562" s="6"/>
      <c r="AS562" s="230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6"/>
      <c r="AR563" s="6"/>
      <c r="AS563" s="230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6"/>
      <c r="AR564" s="6"/>
      <c r="AS564" s="230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6"/>
      <c r="AR565" s="6"/>
      <c r="AS565" s="230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6"/>
      <c r="AR566" s="6"/>
      <c r="AS566" s="230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6"/>
      <c r="AR567" s="6"/>
      <c r="AS567" s="230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6"/>
      <c r="AR568" s="6"/>
      <c r="AS568" s="230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6"/>
      <c r="AR569" s="6"/>
      <c r="AS569" s="230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6"/>
      <c r="AR570" s="6"/>
      <c r="AS570" s="230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6"/>
      <c r="AR571" s="6"/>
      <c r="AS571" s="230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6"/>
      <c r="AR572" s="6"/>
      <c r="AS572" s="230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6"/>
      <c r="AR573" s="6"/>
      <c r="AS573" s="230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6"/>
      <c r="AR574" s="6"/>
      <c r="AS574" s="230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6"/>
      <c r="AR575" s="6"/>
      <c r="AS575" s="230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6"/>
      <c r="AR576" s="6"/>
      <c r="AS576" s="230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6"/>
      <c r="AR577" s="6"/>
      <c r="AS577" s="230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6"/>
      <c r="AR578" s="6"/>
      <c r="AS578" s="230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6"/>
      <c r="AR579" s="6"/>
      <c r="AS579" s="230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6"/>
      <c r="AR580" s="6"/>
      <c r="AS580" s="230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6"/>
      <c r="AR581" s="6"/>
      <c r="AS581" s="230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6"/>
      <c r="AR582" s="6"/>
      <c r="AS582" s="230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6"/>
      <c r="AR583" s="6"/>
      <c r="AS583" s="230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6"/>
      <c r="AR584" s="6"/>
      <c r="AS584" s="230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6"/>
      <c r="AR585" s="6"/>
      <c r="AS585" s="230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6"/>
      <c r="AR586" s="6"/>
      <c r="AS586" s="230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6"/>
      <c r="AR587" s="6"/>
      <c r="AS587" s="230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6"/>
      <c r="AR588" s="6"/>
      <c r="AS588" s="230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6"/>
      <c r="AR589" s="6"/>
      <c r="AS589" s="230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6"/>
      <c r="AR590" s="6"/>
      <c r="AS590" s="230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6"/>
      <c r="AR591" s="6"/>
      <c r="AS591" s="230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6"/>
      <c r="AR592" s="6"/>
      <c r="AS592" s="230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6"/>
      <c r="AR593" s="6"/>
      <c r="AS593" s="230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6"/>
      <c r="AR594" s="6"/>
      <c r="AS594" s="230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6"/>
      <c r="AR595" s="6"/>
      <c r="AS595" s="230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6"/>
      <c r="AR596" s="6"/>
      <c r="AS596" s="230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6"/>
      <c r="AR597" s="6"/>
      <c r="AS597" s="230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6"/>
      <c r="AR598" s="6"/>
      <c r="AS598" s="230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6"/>
      <c r="AR599" s="6"/>
      <c r="AS599" s="230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6"/>
      <c r="AR600" s="6"/>
      <c r="AS600" s="230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6"/>
      <c r="AR601" s="6"/>
      <c r="AS601" s="230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6"/>
      <c r="AR602" s="6"/>
      <c r="AS602" s="230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6"/>
      <c r="AR603" s="6"/>
      <c r="AS603" s="230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6"/>
      <c r="AR604" s="6"/>
      <c r="AS604" s="230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6"/>
      <c r="AR605" s="6"/>
      <c r="AS605" s="230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6"/>
      <c r="AR606" s="6"/>
      <c r="AS606" s="230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6"/>
      <c r="AR607" s="6"/>
      <c r="AS607" s="230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6"/>
      <c r="AR608" s="6"/>
      <c r="AS608" s="230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6"/>
      <c r="AR609" s="6"/>
      <c r="AS609" s="230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6"/>
      <c r="AR610" s="6"/>
      <c r="AS610" s="230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6"/>
      <c r="AR611" s="6"/>
      <c r="AS611" s="230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6"/>
      <c r="AR612" s="6"/>
      <c r="AS612" s="230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6"/>
      <c r="AR613" s="6"/>
      <c r="AS613" s="230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6"/>
      <c r="AR614" s="6"/>
      <c r="AS614" s="230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6"/>
      <c r="AR615" s="6"/>
      <c r="AS615" s="230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6"/>
      <c r="AR616" s="6"/>
      <c r="AS616" s="230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6"/>
      <c r="AR617" s="6"/>
      <c r="AS617" s="230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6"/>
      <c r="AR618" s="6"/>
      <c r="AS618" s="230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6"/>
      <c r="AR619" s="6"/>
      <c r="AS619" s="230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6"/>
      <c r="AR620" s="6"/>
      <c r="AS620" s="230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6"/>
      <c r="AR621" s="6"/>
      <c r="AS621" s="230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6"/>
      <c r="AR622" s="6"/>
      <c r="AS622" s="230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6"/>
      <c r="AR623" s="6"/>
      <c r="AS623" s="230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6"/>
      <c r="AR624" s="6"/>
      <c r="AS624" s="230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6"/>
      <c r="AR625" s="6"/>
      <c r="AS625" s="230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6"/>
      <c r="AR626" s="6"/>
      <c r="AS626" s="230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6"/>
      <c r="AR627" s="6"/>
      <c r="AS627" s="230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6"/>
      <c r="AR628" s="6"/>
      <c r="AS628" s="230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6"/>
      <c r="AR629" s="6"/>
      <c r="AS629" s="230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6"/>
      <c r="AR630" s="6"/>
      <c r="AS630" s="230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6"/>
      <c r="AR631" s="6"/>
      <c r="AS631" s="230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6"/>
      <c r="AR632" s="6"/>
      <c r="AS632" s="230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6"/>
      <c r="AR633" s="6"/>
      <c r="AS633" s="230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6"/>
      <c r="AR634" s="6"/>
      <c r="AS634" s="230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6"/>
      <c r="AR635" s="6"/>
      <c r="AS635" s="230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6"/>
      <c r="AR636" s="6"/>
      <c r="AS636" s="230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6"/>
      <c r="AR637" s="6"/>
      <c r="AS637" s="230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6"/>
      <c r="AR638" s="6"/>
      <c r="AS638" s="230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6"/>
      <c r="AR639" s="6"/>
      <c r="AS639" s="230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6"/>
      <c r="AR640" s="6"/>
      <c r="AS640" s="230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6"/>
      <c r="AR641" s="6"/>
      <c r="AS641" s="230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6"/>
      <c r="AR642" s="6"/>
      <c r="AS642" s="230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6"/>
      <c r="AR643" s="6"/>
      <c r="AS643" s="230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6"/>
      <c r="AR644" s="6"/>
      <c r="AS644" s="230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6"/>
      <c r="AR645" s="6"/>
      <c r="AS645" s="230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6"/>
      <c r="AR646" s="6"/>
      <c r="AS646" s="230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6"/>
      <c r="AR647" s="6"/>
      <c r="AS647" s="230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6"/>
      <c r="AR648" s="6"/>
      <c r="AS648" s="230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6"/>
      <c r="AR649" s="6"/>
      <c r="AS649" s="230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6"/>
      <c r="AR650" s="6"/>
      <c r="AS650" s="230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6"/>
      <c r="AR651" s="6"/>
      <c r="AS651" s="230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6"/>
      <c r="AR652" s="6"/>
      <c r="AS652" s="230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6"/>
      <c r="AR653" s="6"/>
      <c r="AS653" s="230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6"/>
      <c r="AR654" s="6"/>
      <c r="AS654" s="230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6"/>
      <c r="AR655" s="6"/>
      <c r="AS655" s="230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6"/>
      <c r="AR656" s="6"/>
      <c r="AS656" s="230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6"/>
      <c r="AR657" s="6"/>
      <c r="AS657" s="230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6"/>
      <c r="AR658" s="6"/>
      <c r="AS658" s="230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6"/>
      <c r="AR659" s="6"/>
      <c r="AS659" s="230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6"/>
      <c r="AR660" s="6"/>
      <c r="AS660" s="230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6"/>
      <c r="AR661" s="6"/>
      <c r="AS661" s="230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6"/>
      <c r="AR662" s="6"/>
      <c r="AS662" s="230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6"/>
      <c r="AR663" s="6"/>
      <c r="AS663" s="230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6"/>
      <c r="AR664" s="6"/>
      <c r="AS664" s="230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6"/>
      <c r="AR665" s="6"/>
      <c r="AS665" s="230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6"/>
      <c r="AR666" s="6"/>
      <c r="AS666" s="230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6"/>
      <c r="AR667" s="6"/>
      <c r="AS667" s="230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6"/>
      <c r="AR668" s="6"/>
      <c r="AS668" s="230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6"/>
      <c r="AR669" s="6"/>
      <c r="AS669" s="230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6"/>
      <c r="AR670" s="6"/>
      <c r="AS670" s="230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6"/>
      <c r="AR671" s="6"/>
      <c r="AS671" s="230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6"/>
      <c r="AR672" s="6"/>
      <c r="AS672" s="230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6"/>
      <c r="AR673" s="6"/>
      <c r="AS673" s="230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6"/>
      <c r="AR674" s="6"/>
      <c r="AS674" s="230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6"/>
      <c r="AR675" s="6"/>
      <c r="AS675" s="230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6"/>
      <c r="AR676" s="6"/>
      <c r="AS676" s="230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6"/>
      <c r="AR677" s="6"/>
      <c r="AS677" s="230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6"/>
      <c r="AR678" s="6"/>
      <c r="AS678" s="230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6"/>
      <c r="AR679" s="6"/>
      <c r="AS679" s="230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6"/>
      <c r="AR680" s="6"/>
      <c r="AS680" s="230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6"/>
      <c r="AR681" s="6"/>
      <c r="AS681" s="230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6"/>
      <c r="AR682" s="6"/>
      <c r="AS682" s="230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6"/>
      <c r="AR683" s="6"/>
      <c r="AS683" s="230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6"/>
      <c r="AR684" s="6"/>
      <c r="AS684" s="230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6"/>
      <c r="AR685" s="6"/>
      <c r="AS685" s="230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6"/>
      <c r="AR686" s="6"/>
      <c r="AS686" s="230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6"/>
      <c r="AR687" s="6"/>
      <c r="AS687" s="230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6"/>
      <c r="AR688" s="6"/>
      <c r="AS688" s="230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6"/>
      <c r="AR689" s="6"/>
      <c r="AS689" s="230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6"/>
      <c r="AR690" s="6"/>
      <c r="AS690" s="230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6"/>
      <c r="AR691" s="6"/>
      <c r="AS691" s="230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6"/>
      <c r="AR692" s="6"/>
      <c r="AS692" s="230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6"/>
      <c r="AR693" s="6"/>
      <c r="AS693" s="230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6"/>
      <c r="AR694" s="6"/>
      <c r="AS694" s="230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6"/>
      <c r="AR695" s="6"/>
      <c r="AS695" s="230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6"/>
      <c r="AR696" s="6"/>
      <c r="AS696" s="230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6"/>
      <c r="AR697" s="6"/>
      <c r="AS697" s="230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6"/>
      <c r="AR698" s="6"/>
      <c r="AS698" s="230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6"/>
      <c r="AR699" s="6"/>
      <c r="AS699" s="230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6"/>
      <c r="AR700" s="6"/>
      <c r="AS700" s="230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6"/>
      <c r="AR701" s="6"/>
      <c r="AS701" s="230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6"/>
      <c r="AR702" s="6"/>
      <c r="AS702" s="230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6"/>
      <c r="AR703" s="6"/>
      <c r="AS703" s="230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6"/>
      <c r="AR704" s="6"/>
      <c r="AS704" s="230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6"/>
      <c r="AR705" s="6"/>
      <c r="AS705" s="230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6"/>
      <c r="AR706" s="6"/>
      <c r="AS706" s="230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6"/>
      <c r="AR707" s="6"/>
      <c r="AS707" s="230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6"/>
      <c r="AR708" s="6"/>
      <c r="AS708" s="230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6"/>
      <c r="AR709" s="6"/>
      <c r="AS709" s="230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6"/>
      <c r="AR710" s="6"/>
      <c r="AS710" s="230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6"/>
      <c r="AR711" s="6"/>
      <c r="AS711" s="230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6"/>
      <c r="AR712" s="6"/>
      <c r="AS712" s="230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6"/>
      <c r="AR713" s="6"/>
      <c r="AS713" s="230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6"/>
      <c r="AR714" s="6"/>
      <c r="AS714" s="230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6"/>
      <c r="AR715" s="6"/>
      <c r="AS715" s="230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6"/>
      <c r="AR716" s="6"/>
      <c r="AS716" s="230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6"/>
      <c r="AR717" s="6"/>
      <c r="AS717" s="230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6"/>
      <c r="AR718" s="6"/>
      <c r="AS718" s="230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6"/>
      <c r="AR719" s="6"/>
      <c r="AS719" s="230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6"/>
      <c r="AR720" s="6"/>
      <c r="AS720" s="230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6"/>
      <c r="AR721" s="6"/>
      <c r="AS721" s="230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6"/>
      <c r="AR722" s="6"/>
      <c r="AS722" s="230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6"/>
      <c r="AR723" s="6"/>
      <c r="AS723" s="230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6"/>
      <c r="AR724" s="6"/>
      <c r="AS724" s="230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6"/>
      <c r="AR725" s="6"/>
      <c r="AS725" s="230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6"/>
      <c r="AR726" s="6"/>
      <c r="AS726" s="230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6"/>
      <c r="AR727" s="6"/>
      <c r="AS727" s="230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6"/>
      <c r="AR728" s="6"/>
      <c r="AS728" s="230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6"/>
      <c r="AR729" s="6"/>
      <c r="AS729" s="230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6"/>
      <c r="AR730" s="6"/>
      <c r="AS730" s="230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6"/>
      <c r="AR731" s="6"/>
      <c r="AS731" s="230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6"/>
      <c r="AR732" s="6"/>
      <c r="AS732" s="230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6"/>
      <c r="AR733" s="6"/>
      <c r="AS733" s="230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6"/>
      <c r="AR734" s="6"/>
      <c r="AS734" s="230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6"/>
      <c r="AR735" s="6"/>
      <c r="AS735" s="230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6"/>
      <c r="AR736" s="6"/>
      <c r="AS736" s="230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6"/>
      <c r="AR737" s="6"/>
      <c r="AS737" s="230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6"/>
      <c r="AR738" s="6"/>
      <c r="AS738" s="230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6"/>
      <c r="AR739" s="6"/>
      <c r="AS739" s="230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6"/>
      <c r="AR740" s="6"/>
      <c r="AS740" s="230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6"/>
      <c r="AR741" s="6"/>
      <c r="AS741" s="230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6"/>
      <c r="AR742" s="6"/>
      <c r="AS742" s="230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6"/>
      <c r="AR743" s="6"/>
      <c r="AS743" s="230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6"/>
      <c r="AR744" s="6"/>
      <c r="AS744" s="230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6"/>
      <c r="AR745" s="6"/>
      <c r="AS745" s="230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6"/>
      <c r="AR746" s="6"/>
      <c r="AS746" s="230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6"/>
      <c r="AR747" s="6"/>
      <c r="AS747" s="230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6"/>
      <c r="AR748" s="6"/>
      <c r="AS748" s="230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6"/>
      <c r="AR749" s="6"/>
      <c r="AS749" s="230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6"/>
      <c r="AR750" s="6"/>
      <c r="AS750" s="230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6"/>
      <c r="AR751" s="6"/>
      <c r="AS751" s="230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6"/>
      <c r="AR752" s="6"/>
      <c r="AS752" s="230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6"/>
      <c r="AR753" s="6"/>
      <c r="AS753" s="230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6"/>
      <c r="AR754" s="6"/>
      <c r="AS754" s="230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6"/>
      <c r="AR755" s="6"/>
      <c r="AS755" s="230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6"/>
      <c r="AR756" s="6"/>
      <c r="AS756" s="230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6"/>
      <c r="AR757" s="6"/>
      <c r="AS757" s="230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6"/>
      <c r="AR758" s="6"/>
      <c r="AS758" s="230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6"/>
      <c r="AR759" s="6"/>
      <c r="AS759" s="230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6"/>
      <c r="AR760" s="6"/>
      <c r="AS760" s="230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6"/>
      <c r="AR761" s="6"/>
      <c r="AS761" s="230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6"/>
      <c r="AR762" s="6"/>
      <c r="AS762" s="230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6"/>
      <c r="AR763" s="6"/>
      <c r="AS763" s="230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6"/>
      <c r="AR764" s="6"/>
      <c r="AS764" s="230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6"/>
      <c r="AR765" s="6"/>
      <c r="AS765" s="230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6"/>
      <c r="AR766" s="6"/>
      <c r="AS766" s="230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6"/>
      <c r="AR767" s="6"/>
      <c r="AS767" s="230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6"/>
      <c r="AR768" s="6"/>
      <c r="AS768" s="230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6"/>
      <c r="AR769" s="6"/>
      <c r="AS769" s="230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6"/>
      <c r="AR770" s="6"/>
      <c r="AS770" s="230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6"/>
      <c r="AR771" s="6"/>
      <c r="AS771" s="230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6"/>
      <c r="AR772" s="6"/>
      <c r="AS772" s="230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6"/>
      <c r="AR773" s="6"/>
      <c r="AS773" s="230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6"/>
      <c r="AR774" s="6"/>
      <c r="AS774" s="230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6"/>
      <c r="AR775" s="6"/>
      <c r="AS775" s="230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6"/>
      <c r="AR776" s="6"/>
      <c r="AS776" s="230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6"/>
      <c r="AR777" s="6"/>
      <c r="AS777" s="230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6"/>
      <c r="AR778" s="6"/>
      <c r="AS778" s="230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6"/>
      <c r="AR779" s="6"/>
      <c r="AS779" s="230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6"/>
      <c r="AR780" s="6"/>
      <c r="AS780" s="230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6"/>
      <c r="AR781" s="6"/>
      <c r="AS781" s="230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6"/>
      <c r="AR782" s="6"/>
      <c r="AS782" s="230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6"/>
      <c r="AR783" s="6"/>
      <c r="AS783" s="230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6"/>
      <c r="AR784" s="6"/>
      <c r="AS784" s="230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6"/>
      <c r="AR785" s="6"/>
      <c r="AS785" s="230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6"/>
      <c r="AR786" s="6"/>
      <c r="AS786" s="230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6"/>
      <c r="AR787" s="6"/>
      <c r="AS787" s="230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6"/>
      <c r="AR788" s="6"/>
      <c r="AS788" s="230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6"/>
      <c r="AR789" s="6"/>
      <c r="AS789" s="230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6"/>
      <c r="AR790" s="6"/>
      <c r="AS790" s="230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6"/>
      <c r="AR791" s="6"/>
      <c r="AS791" s="230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6"/>
      <c r="AR792" s="6"/>
      <c r="AS792" s="230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6"/>
      <c r="AR793" s="6"/>
      <c r="AS793" s="230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6"/>
      <c r="AR794" s="6"/>
      <c r="AS794" s="230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6"/>
      <c r="AR795" s="6"/>
      <c r="AS795" s="230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6"/>
      <c r="AR796" s="6"/>
      <c r="AS796" s="230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6"/>
      <c r="AR797" s="6"/>
      <c r="AS797" s="230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6"/>
      <c r="AR798" s="6"/>
      <c r="AS798" s="230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6"/>
      <c r="AR799" s="6"/>
      <c r="AS799" s="230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6"/>
      <c r="AR800" s="6"/>
      <c r="AS800" s="230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6"/>
      <c r="AR801" s="6"/>
      <c r="AS801" s="230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6"/>
      <c r="AR802" s="6"/>
      <c r="AS802" s="230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6"/>
      <c r="AR803" s="6"/>
      <c r="AS803" s="230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6"/>
      <c r="AR804" s="6"/>
      <c r="AS804" s="230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6"/>
      <c r="AR805" s="6"/>
      <c r="AS805" s="230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6"/>
      <c r="AR806" s="6"/>
      <c r="AS806" s="230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6"/>
      <c r="AR807" s="6"/>
      <c r="AS807" s="230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6"/>
      <c r="AR808" s="6"/>
      <c r="AS808" s="230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6"/>
      <c r="AR809" s="6"/>
      <c r="AS809" s="230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6"/>
      <c r="AR810" s="6"/>
      <c r="AS810" s="230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6"/>
      <c r="AR811" s="6"/>
      <c r="AS811" s="230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6"/>
      <c r="AR812" s="6"/>
      <c r="AS812" s="230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6"/>
      <c r="AR813" s="6"/>
      <c r="AS813" s="230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6"/>
      <c r="AR814" s="6"/>
      <c r="AS814" s="230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6"/>
      <c r="AR815" s="6"/>
      <c r="AS815" s="230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6"/>
      <c r="AR816" s="6"/>
      <c r="AS816" s="230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6"/>
      <c r="AR817" s="6"/>
      <c r="AS817" s="230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6"/>
      <c r="AR818" s="6"/>
      <c r="AS818" s="230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6"/>
      <c r="AR819" s="6"/>
      <c r="AS819" s="230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6"/>
      <c r="AR820" s="6"/>
      <c r="AS820" s="230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6"/>
      <c r="AR821" s="6"/>
      <c r="AS821" s="230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6"/>
      <c r="AR822" s="6"/>
      <c r="AS822" s="230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6"/>
      <c r="AR823" s="6"/>
      <c r="AS823" s="230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6"/>
      <c r="AR824" s="6"/>
      <c r="AS824" s="230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6"/>
      <c r="AR825" s="6"/>
      <c r="AS825" s="230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6"/>
      <c r="AR826" s="6"/>
      <c r="AS826" s="230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6"/>
      <c r="AR827" s="6"/>
      <c r="AS827" s="230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6"/>
      <c r="AR828" s="6"/>
      <c r="AS828" s="230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6"/>
      <c r="AR829" s="6"/>
      <c r="AS829" s="230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6"/>
      <c r="AR830" s="6"/>
      <c r="AS830" s="230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6"/>
      <c r="AR831" s="6"/>
      <c r="AS831" s="230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6"/>
      <c r="AR832" s="6"/>
      <c r="AS832" s="230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6"/>
      <c r="AR833" s="6"/>
      <c r="AS833" s="230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6"/>
      <c r="AR834" s="6"/>
      <c r="AS834" s="230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6"/>
      <c r="AR835" s="6"/>
      <c r="AS835" s="230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6"/>
      <c r="AR836" s="6"/>
      <c r="AS836" s="230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6"/>
      <c r="AR837" s="6"/>
      <c r="AS837" s="230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6"/>
      <c r="AR838" s="6"/>
      <c r="AS838" s="230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6"/>
      <c r="AR839" s="6"/>
      <c r="AS839" s="230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6"/>
      <c r="AR840" s="6"/>
      <c r="AS840" s="230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6"/>
      <c r="AR841" s="6"/>
      <c r="AS841" s="230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6"/>
      <c r="AR842" s="6"/>
      <c r="AS842" s="230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6"/>
      <c r="AR843" s="6"/>
      <c r="AS843" s="230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6"/>
      <c r="AR844" s="6"/>
      <c r="AS844" s="230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6"/>
      <c r="AR845" s="6"/>
      <c r="AS845" s="230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6"/>
      <c r="AR846" s="6"/>
      <c r="AS846" s="230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6"/>
      <c r="AR847" s="6"/>
      <c r="AS847" s="230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6"/>
      <c r="AR848" s="6"/>
      <c r="AS848" s="230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6"/>
      <c r="AR849" s="6"/>
      <c r="AS849" s="230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6"/>
      <c r="AR850" s="6"/>
      <c r="AS850" s="230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6"/>
      <c r="AR851" s="6"/>
      <c r="AS851" s="230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6"/>
      <c r="AR852" s="6"/>
      <c r="AS852" s="230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6"/>
      <c r="AR853" s="6"/>
      <c r="AS853" s="230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6"/>
      <c r="AR854" s="6"/>
      <c r="AS854" s="230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6"/>
      <c r="AR855" s="6"/>
      <c r="AS855" s="230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6"/>
      <c r="AR856" s="6"/>
      <c r="AS856" s="230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6"/>
      <c r="AR857" s="6"/>
      <c r="AS857" s="230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6"/>
      <c r="AR858" s="6"/>
      <c r="AS858" s="230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6"/>
      <c r="AR859" s="6"/>
      <c r="AS859" s="230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6"/>
      <c r="AR860" s="6"/>
      <c r="AS860" s="230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6"/>
      <c r="AR861" s="6"/>
      <c r="AS861" s="230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6"/>
      <c r="AR862" s="6"/>
      <c r="AS862" s="230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6"/>
      <c r="AR863" s="6"/>
      <c r="AS863" s="230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6"/>
      <c r="AR864" s="6"/>
      <c r="AS864" s="230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6"/>
      <c r="AR865" s="6"/>
      <c r="AS865" s="230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6"/>
      <c r="AR866" s="6"/>
      <c r="AS866" s="230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6"/>
      <c r="AR867" s="6"/>
      <c r="AS867" s="230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6"/>
      <c r="AR868" s="6"/>
      <c r="AS868" s="230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6"/>
      <c r="AR869" s="6"/>
      <c r="AS869" s="230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6"/>
      <c r="AR870" s="6"/>
      <c r="AS870" s="230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6"/>
      <c r="AR871" s="6"/>
      <c r="AS871" s="230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6"/>
      <c r="AR872" s="6"/>
      <c r="AS872" s="230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6"/>
      <c r="AR873" s="6"/>
      <c r="AS873" s="230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6"/>
      <c r="AR874" s="6"/>
      <c r="AS874" s="230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6"/>
      <c r="AR875" s="6"/>
      <c r="AS875" s="230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6"/>
      <c r="AR876" s="6"/>
      <c r="AS876" s="230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6"/>
      <c r="AR877" s="6"/>
      <c r="AS877" s="230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6"/>
      <c r="AR878" s="6"/>
      <c r="AS878" s="230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6"/>
      <c r="AR879" s="6"/>
      <c r="AS879" s="230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6"/>
      <c r="AR880" s="6"/>
      <c r="AS880" s="230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6"/>
      <c r="AR881" s="6"/>
      <c r="AS881" s="230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6"/>
      <c r="AR882" s="6"/>
      <c r="AS882" s="230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6"/>
      <c r="AR883" s="6"/>
      <c r="AS883" s="230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6"/>
      <c r="AR884" s="6"/>
      <c r="AS884" s="230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6"/>
      <c r="AR885" s="6"/>
      <c r="AS885" s="230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6"/>
      <c r="AR886" s="6"/>
      <c r="AS886" s="230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6"/>
      <c r="AR887" s="6"/>
      <c r="AS887" s="230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6"/>
      <c r="AR888" s="6"/>
      <c r="AS888" s="230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6"/>
      <c r="AR889" s="6"/>
      <c r="AS889" s="230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6"/>
      <c r="AR890" s="6"/>
      <c r="AS890" s="230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6"/>
      <c r="AR891" s="6"/>
      <c r="AS891" s="230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6"/>
      <c r="AR892" s="6"/>
      <c r="AS892" s="230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6"/>
      <c r="AR893" s="6"/>
      <c r="AS893" s="230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6"/>
      <c r="AR894" s="6"/>
      <c r="AS894" s="230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6"/>
      <c r="AR895" s="6"/>
      <c r="AS895" s="230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6"/>
      <c r="AR896" s="6"/>
      <c r="AS896" s="230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6"/>
      <c r="AR897" s="6"/>
      <c r="AS897" s="230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6"/>
      <c r="AR898" s="6"/>
      <c r="AS898" s="230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6"/>
      <c r="AR899" s="6"/>
      <c r="AS899" s="230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6"/>
      <c r="AR900" s="6"/>
      <c r="AS900" s="230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6"/>
      <c r="AR901" s="6"/>
      <c r="AS901" s="230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6"/>
      <c r="AR902" s="6"/>
      <c r="AS902" s="230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6"/>
      <c r="AR903" s="6"/>
      <c r="AS903" s="230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6"/>
      <c r="AR904" s="6"/>
      <c r="AS904" s="230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6"/>
      <c r="AR905" s="6"/>
      <c r="AS905" s="230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6"/>
      <c r="AR906" s="6"/>
      <c r="AS906" s="230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6"/>
      <c r="AR907" s="6"/>
      <c r="AS907" s="230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6"/>
      <c r="AR908" s="6"/>
      <c r="AS908" s="230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6"/>
      <c r="AR909" s="6"/>
      <c r="AS909" s="230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6"/>
      <c r="AR910" s="6"/>
      <c r="AS910" s="230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6"/>
      <c r="AR911" s="6"/>
      <c r="AS911" s="230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6"/>
      <c r="AR912" s="6"/>
      <c r="AS912" s="230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6"/>
      <c r="AR913" s="6"/>
      <c r="AS913" s="230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6"/>
      <c r="AR914" s="6"/>
      <c r="AS914" s="230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6"/>
      <c r="AR915" s="6"/>
      <c r="AS915" s="230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6"/>
      <c r="AR916" s="6"/>
      <c r="AS916" s="230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6"/>
      <c r="AR917" s="6"/>
      <c r="AS917" s="230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6"/>
      <c r="AR918" s="6"/>
      <c r="AS918" s="230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6"/>
      <c r="AR919" s="6"/>
      <c r="AS919" s="230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6"/>
      <c r="AR920" s="6"/>
      <c r="AS920" s="230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6"/>
      <c r="AR921" s="6"/>
      <c r="AS921" s="230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6"/>
      <c r="AR922" s="6"/>
      <c r="AS922" s="230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6"/>
      <c r="AR923" s="6"/>
      <c r="AS923" s="230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6"/>
      <c r="AR924" s="6"/>
      <c r="AS924" s="230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6"/>
      <c r="AR925" s="6"/>
      <c r="AS925" s="230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6"/>
      <c r="AR926" s="6"/>
      <c r="AS926" s="230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6"/>
      <c r="AR927" s="6"/>
      <c r="AS927" s="230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6"/>
      <c r="AR928" s="6"/>
      <c r="AS928" s="230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6"/>
      <c r="AR929" s="6"/>
      <c r="AS929" s="230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6"/>
      <c r="AR930" s="6"/>
      <c r="AS930" s="230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6"/>
      <c r="AR931" s="6"/>
      <c r="AS931" s="230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6"/>
      <c r="AR932" s="6"/>
      <c r="AS932" s="230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6"/>
      <c r="AR933" s="6"/>
      <c r="AS933" s="230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6"/>
      <c r="AR934" s="6"/>
      <c r="AS934" s="230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6"/>
      <c r="AR935" s="6"/>
      <c r="AS935" s="230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6"/>
      <c r="AR936" s="6"/>
      <c r="AS936" s="230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6"/>
      <c r="AR937" s="6"/>
      <c r="AS937" s="230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6"/>
      <c r="AR938" s="6"/>
      <c r="AS938" s="230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6"/>
      <c r="AR939" s="6"/>
      <c r="AS939" s="230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6"/>
      <c r="AR940" s="6"/>
      <c r="AS940" s="230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6"/>
      <c r="AR941" s="6"/>
      <c r="AS941" s="230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6"/>
      <c r="AR942" s="6"/>
      <c r="AS942" s="230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6"/>
      <c r="AR943" s="6"/>
      <c r="AS943" s="230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6"/>
      <c r="AR944" s="6"/>
      <c r="AS944" s="230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6"/>
      <c r="AR945" s="6"/>
      <c r="AS945" s="230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6"/>
      <c r="AR946" s="6"/>
      <c r="AS946" s="230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6"/>
      <c r="AR947" s="6"/>
      <c r="AS947" s="230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6"/>
      <c r="AR948" s="6"/>
      <c r="AS948" s="230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6"/>
      <c r="AR949" s="6"/>
      <c r="AS949" s="230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6"/>
      <c r="AR950" s="6"/>
      <c r="AS950" s="230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6"/>
      <c r="AR951" s="6"/>
      <c r="AS951" s="230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6"/>
      <c r="AR952" s="6"/>
      <c r="AS952" s="230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6"/>
      <c r="AR953" s="6"/>
      <c r="AS953" s="230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6"/>
      <c r="AR954" s="6"/>
      <c r="AS954" s="230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6"/>
      <c r="AR955" s="6"/>
      <c r="AS955" s="230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6"/>
      <c r="AR956" s="6"/>
      <c r="AS956" s="230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6"/>
      <c r="AR957" s="6"/>
      <c r="AS957" s="230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6"/>
      <c r="AR958" s="6"/>
      <c r="AS958" s="230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6"/>
      <c r="AR959" s="6"/>
      <c r="AS959" s="230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6"/>
      <c r="AR960" s="6"/>
      <c r="AS960" s="230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6"/>
      <c r="AR961" s="6"/>
      <c r="AS961" s="230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6"/>
      <c r="AR962" s="6"/>
      <c r="AS962" s="230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6"/>
      <c r="AR963" s="6"/>
      <c r="AS963" s="230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6"/>
      <c r="AR964" s="6"/>
      <c r="AS964" s="230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6"/>
      <c r="AR965" s="6"/>
      <c r="AS965" s="230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6"/>
      <c r="AR966" s="6"/>
      <c r="AS966" s="230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6"/>
      <c r="AR967" s="6"/>
      <c r="AS967" s="230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6"/>
      <c r="AR968" s="6"/>
      <c r="AS968" s="230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6"/>
      <c r="AR969" s="6"/>
      <c r="AS969" s="230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6"/>
      <c r="AR970" s="6"/>
      <c r="AS970" s="230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6"/>
      <c r="AR971" s="6"/>
      <c r="AS971" s="230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6"/>
      <c r="AR972" s="6"/>
      <c r="AS972" s="230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6"/>
      <c r="AR973" s="6"/>
      <c r="AS973" s="230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6"/>
      <c r="AR974" s="6"/>
      <c r="AS974" s="230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6"/>
      <c r="AR975" s="6"/>
      <c r="AS975" s="230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6"/>
      <c r="AR976" s="6"/>
      <c r="AS976" s="230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6"/>
      <c r="AR977" s="6"/>
      <c r="AS977" s="230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6"/>
      <c r="AR978" s="6"/>
      <c r="AS978" s="230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6"/>
      <c r="AR979" s="6"/>
      <c r="AS979" s="230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6"/>
      <c r="AR980" s="6"/>
      <c r="AS980" s="230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6"/>
      <c r="AR981" s="6"/>
      <c r="AS981" s="230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6"/>
      <c r="AR982" s="6"/>
      <c r="AS982" s="230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6"/>
      <c r="AR983" s="6"/>
      <c r="AS983" s="230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6"/>
      <c r="AR984" s="6"/>
      <c r="AS984" s="230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6"/>
      <c r="AR985" s="6"/>
      <c r="AS985" s="230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6"/>
      <c r="AR986" s="6"/>
      <c r="AS986" s="230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6"/>
      <c r="AR987" s="6"/>
      <c r="AS987" s="230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6"/>
      <c r="AR988" s="6"/>
      <c r="AS988" s="230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6"/>
      <c r="AR989" s="6"/>
      <c r="AS989" s="230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6"/>
      <c r="AR990" s="6"/>
      <c r="AS990" s="230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6"/>
      <c r="AR991" s="6"/>
      <c r="AS991" s="230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6"/>
      <c r="AR992" s="6"/>
      <c r="AS992" s="230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6"/>
      <c r="AR993" s="6"/>
      <c r="AS993" s="230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6"/>
      <c r="AR994" s="6"/>
      <c r="AS994" s="230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6"/>
      <c r="AR995" s="6"/>
      <c r="AS995" s="230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6"/>
      <c r="AR996" s="6"/>
      <c r="AS996" s="230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6"/>
      <c r="AR997" s="6"/>
      <c r="AS997" s="230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6"/>
      <c r="AR998" s="6"/>
      <c r="AS998" s="230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6"/>
      <c r="AR999" s="6"/>
      <c r="AS999" s="230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6"/>
      <c r="AR1000" s="6"/>
      <c r="AS1000" s="230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</row>
  </sheetData>
  <mergeCells count="38">
    <mergeCell ref="AE8:AH8"/>
    <mergeCell ref="AI8:AI9"/>
    <mergeCell ref="AJ8:AM8"/>
    <mergeCell ref="AN8:AN9"/>
    <mergeCell ref="AT7:AT9"/>
    <mergeCell ref="AS8:AS9"/>
    <mergeCell ref="AE5:AI5"/>
    <mergeCell ref="AK5:AP5"/>
    <mergeCell ref="AE7:AI7"/>
    <mergeCell ref="AJ7:AN7"/>
    <mergeCell ref="AO7:AS7"/>
    <mergeCell ref="AU7:AU9"/>
    <mergeCell ref="AO8:AR8"/>
    <mergeCell ref="B1:AU1"/>
    <mergeCell ref="C3:F3"/>
    <mergeCell ref="G3:K3"/>
    <mergeCell ref="R3:T3"/>
    <mergeCell ref="U3:Z3"/>
    <mergeCell ref="AK3:AP3"/>
    <mergeCell ref="G5:P5"/>
    <mergeCell ref="F7:J7"/>
    <mergeCell ref="F8:I8"/>
    <mergeCell ref="K7:O7"/>
    <mergeCell ref="K8:N8"/>
    <mergeCell ref="P7:T7"/>
    <mergeCell ref="P8:S8"/>
    <mergeCell ref="U7:Y7"/>
    <mergeCell ref="U8:X8"/>
    <mergeCell ref="Z7:AD7"/>
    <mergeCell ref="Z8:AC8"/>
    <mergeCell ref="AD8:AD9"/>
    <mergeCell ref="R5:T5"/>
    <mergeCell ref="U5:Y5"/>
    <mergeCell ref="A7:E9"/>
    <mergeCell ref="J8:J9"/>
    <mergeCell ref="O8:O9"/>
    <mergeCell ref="T8:T9"/>
    <mergeCell ref="Y8:Y9"/>
  </mergeCells>
  <printOptions/>
  <pageMargins bottom="0.7480314960629921" footer="0.0" header="0.0" left="0.1968503937007874" right="0.1968503937007874" top="0.748031496062992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5" width="7.71"/>
    <col customWidth="1" min="6" max="6" width="9.29"/>
    <col customWidth="1" min="7" max="7" width="10.14"/>
    <col customWidth="1" min="8" max="8" width="7.14"/>
    <col customWidth="1" min="9" max="10" width="6.29"/>
    <col customWidth="1" min="11" max="15" width="5.29"/>
    <col customWidth="1" min="16" max="19" width="6.43"/>
    <col customWidth="1" min="20" max="26" width="9.0"/>
  </cols>
  <sheetData>
    <row r="1" ht="15.0" customHeight="1">
      <c r="A1" s="65" t="s">
        <v>77</v>
      </c>
      <c r="H1" s="79"/>
      <c r="I1" s="65" t="s">
        <v>78</v>
      </c>
    </row>
    <row r="2" ht="15.0" customHeight="1">
      <c r="H2" s="7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0" customHeight="1">
      <c r="A3" s="315" t="s">
        <v>79</v>
      </c>
      <c r="B3" s="316" t="s">
        <v>80</v>
      </c>
      <c r="C3" s="40"/>
      <c r="D3" s="40"/>
      <c r="E3" s="83"/>
      <c r="F3" s="317" t="s">
        <v>81</v>
      </c>
      <c r="G3" s="315" t="s">
        <v>82</v>
      </c>
      <c r="H3" s="79"/>
      <c r="I3" s="318" t="s">
        <v>83</v>
      </c>
      <c r="J3" s="86"/>
      <c r="K3" s="319" t="s">
        <v>84</v>
      </c>
      <c r="L3" s="88"/>
      <c r="M3" s="88"/>
      <c r="N3" s="88"/>
      <c r="O3" s="86"/>
      <c r="P3" s="316" t="s">
        <v>80</v>
      </c>
      <c r="Q3" s="40"/>
      <c r="R3" s="40"/>
      <c r="S3" s="83"/>
    </row>
    <row r="4" ht="15.75" customHeight="1">
      <c r="A4" s="28"/>
      <c r="B4" s="320">
        <v>1.0</v>
      </c>
      <c r="C4" s="320">
        <v>2.0</v>
      </c>
      <c r="D4" s="320">
        <v>3.0</v>
      </c>
      <c r="E4" s="320">
        <v>4.0</v>
      </c>
      <c r="F4" s="321" t="s">
        <v>85</v>
      </c>
      <c r="G4" s="28"/>
      <c r="H4" s="79"/>
      <c r="I4" s="91"/>
      <c r="J4" s="92"/>
      <c r="K4" s="91"/>
      <c r="L4" s="36"/>
      <c r="M4" s="36"/>
      <c r="N4" s="36"/>
      <c r="O4" s="92"/>
      <c r="P4" s="320">
        <v>1.0</v>
      </c>
      <c r="Q4" s="320">
        <v>2.0</v>
      </c>
      <c r="R4" s="320">
        <v>3.0</v>
      </c>
      <c r="S4" s="320">
        <v>4.0</v>
      </c>
    </row>
    <row r="5" ht="12.75" customHeight="1">
      <c r="A5" s="119" t="s">
        <v>86</v>
      </c>
      <c r="B5" s="322"/>
      <c r="C5" s="322"/>
      <c r="D5" s="322"/>
      <c r="E5" s="322"/>
      <c r="F5" s="323"/>
      <c r="G5" s="324"/>
      <c r="H5" s="79"/>
      <c r="I5" s="97"/>
      <c r="J5" s="98"/>
      <c r="K5" s="99" t="s">
        <v>88</v>
      </c>
      <c r="L5" s="88"/>
      <c r="M5" s="88"/>
      <c r="N5" s="88"/>
      <c r="O5" s="86"/>
      <c r="P5" s="325"/>
      <c r="Q5" s="325"/>
      <c r="R5" s="325"/>
      <c r="S5" s="325"/>
    </row>
    <row r="6" ht="12.75" customHeight="1">
      <c r="A6" s="28"/>
      <c r="B6" s="28"/>
      <c r="C6" s="28"/>
      <c r="D6" s="28"/>
      <c r="E6" s="28"/>
      <c r="F6" s="28"/>
      <c r="G6" s="28"/>
      <c r="H6" s="79"/>
      <c r="I6" s="101"/>
      <c r="J6" s="102"/>
      <c r="O6" s="103"/>
      <c r="P6" s="24"/>
      <c r="Q6" s="24"/>
      <c r="R6" s="24"/>
      <c r="S6" s="24"/>
    </row>
    <row r="7" ht="12.75" customHeight="1">
      <c r="A7" s="119" t="s">
        <v>90</v>
      </c>
      <c r="B7" s="322"/>
      <c r="C7" s="322"/>
      <c r="D7" s="322"/>
      <c r="E7" s="322"/>
      <c r="F7" s="323"/>
      <c r="G7" s="324"/>
      <c r="H7" s="79"/>
      <c r="I7" s="105" t="s">
        <v>91</v>
      </c>
      <c r="J7" s="103"/>
      <c r="O7" s="103"/>
      <c r="P7" s="24"/>
      <c r="Q7" s="24"/>
      <c r="R7" s="24"/>
      <c r="S7" s="24"/>
    </row>
    <row r="8" ht="12.75" customHeight="1">
      <c r="A8" s="28"/>
      <c r="B8" s="28"/>
      <c r="C8" s="28"/>
      <c r="D8" s="28"/>
      <c r="E8" s="28"/>
      <c r="F8" s="28"/>
      <c r="G8" s="28"/>
      <c r="H8" s="79"/>
      <c r="I8" s="101" t="s">
        <v>92</v>
      </c>
      <c r="J8" s="102"/>
      <c r="K8" s="36"/>
      <c r="L8" s="36"/>
      <c r="M8" s="36"/>
      <c r="N8" s="36"/>
      <c r="O8" s="92"/>
      <c r="P8" s="28"/>
      <c r="Q8" s="28"/>
      <c r="R8" s="28"/>
      <c r="S8" s="28"/>
    </row>
    <row r="9" ht="12.75" customHeight="1">
      <c r="A9" s="326" t="s">
        <v>93</v>
      </c>
      <c r="B9" s="327"/>
      <c r="C9" s="327"/>
      <c r="D9" s="327"/>
      <c r="E9" s="327"/>
      <c r="F9" s="323"/>
      <c r="G9" s="324"/>
      <c r="H9" s="79"/>
      <c r="I9" s="101"/>
      <c r="J9" s="102"/>
      <c r="K9" s="99" t="s">
        <v>94</v>
      </c>
      <c r="L9" s="88"/>
      <c r="M9" s="88"/>
      <c r="N9" s="88"/>
      <c r="O9" s="86"/>
      <c r="P9" s="325"/>
      <c r="Q9" s="325"/>
      <c r="R9" s="325"/>
      <c r="S9" s="325"/>
    </row>
    <row r="10" ht="12.75" customHeight="1">
      <c r="A10" s="28"/>
      <c r="B10" s="28"/>
      <c r="C10" s="28"/>
      <c r="D10" s="28"/>
      <c r="E10" s="28"/>
      <c r="F10" s="28"/>
      <c r="G10" s="28"/>
      <c r="H10" s="79"/>
      <c r="I10" s="101"/>
      <c r="J10" s="102"/>
      <c r="O10" s="103"/>
      <c r="P10" s="24"/>
      <c r="Q10" s="24"/>
      <c r="R10" s="24"/>
      <c r="S10" s="24"/>
    </row>
    <row r="11" ht="12.75" customHeight="1">
      <c r="A11" s="326" t="s">
        <v>173</v>
      </c>
      <c r="B11" s="327"/>
      <c r="C11" s="327"/>
      <c r="D11" s="327"/>
      <c r="E11" s="327"/>
      <c r="F11" s="323"/>
      <c r="G11" s="324"/>
      <c r="H11" s="79"/>
      <c r="I11" s="108"/>
      <c r="J11" s="109"/>
      <c r="K11" s="36"/>
      <c r="L11" s="36"/>
      <c r="M11" s="36"/>
      <c r="N11" s="36"/>
      <c r="O11" s="92"/>
      <c r="P11" s="28"/>
      <c r="Q11" s="28"/>
      <c r="R11" s="28"/>
      <c r="S11" s="28"/>
    </row>
    <row r="12" ht="12.75" customHeight="1">
      <c r="A12" s="28"/>
      <c r="B12" s="28"/>
      <c r="C12" s="28"/>
      <c r="D12" s="28"/>
      <c r="E12" s="28"/>
      <c r="F12" s="28"/>
      <c r="G12" s="28"/>
      <c r="H12" s="79"/>
      <c r="I12" s="110" t="s">
        <v>96</v>
      </c>
      <c r="J12" s="86"/>
      <c r="K12" s="111" t="s">
        <v>97</v>
      </c>
      <c r="L12" s="88"/>
      <c r="M12" s="88"/>
      <c r="N12" s="88"/>
      <c r="O12" s="86"/>
      <c r="P12" s="325"/>
      <c r="Q12" s="325"/>
      <c r="R12" s="325"/>
      <c r="S12" s="325"/>
    </row>
    <row r="13" ht="12.75" customHeight="1">
      <c r="A13" s="326" t="s">
        <v>100</v>
      </c>
      <c r="B13" s="327"/>
      <c r="C13" s="327"/>
      <c r="D13" s="327"/>
      <c r="E13" s="327"/>
      <c r="F13" s="328"/>
      <c r="G13" s="329"/>
      <c r="H13" s="79"/>
      <c r="I13" s="114"/>
      <c r="J13" s="103"/>
      <c r="K13" s="114"/>
      <c r="O13" s="103"/>
      <c r="P13" s="24"/>
      <c r="Q13" s="24"/>
      <c r="R13" s="24"/>
      <c r="S13" s="24"/>
    </row>
    <row r="14" ht="12.75" customHeight="1">
      <c r="A14" s="24"/>
      <c r="B14" s="24"/>
      <c r="C14" s="24"/>
      <c r="D14" s="24"/>
      <c r="E14" s="24"/>
      <c r="F14" s="24"/>
      <c r="G14" s="24"/>
      <c r="H14" s="79"/>
      <c r="I14" s="114"/>
      <c r="J14" s="103"/>
      <c r="K14" s="91"/>
      <c r="L14" s="36"/>
      <c r="M14" s="36"/>
      <c r="N14" s="36"/>
      <c r="O14" s="92"/>
      <c r="P14" s="28"/>
      <c r="Q14" s="28"/>
      <c r="R14" s="28"/>
      <c r="S14" s="28"/>
    </row>
    <row r="15" ht="12.75" customHeight="1">
      <c r="A15" s="28"/>
      <c r="B15" s="28"/>
      <c r="C15" s="28"/>
      <c r="D15" s="28"/>
      <c r="E15" s="28"/>
      <c r="F15" s="28"/>
      <c r="G15" s="28"/>
      <c r="H15" s="79"/>
      <c r="I15" s="114"/>
      <c r="J15" s="103"/>
      <c r="K15" s="111" t="s">
        <v>99</v>
      </c>
      <c r="L15" s="88"/>
      <c r="M15" s="88"/>
      <c r="N15" s="88"/>
      <c r="O15" s="86"/>
      <c r="P15" s="325"/>
      <c r="Q15" s="325"/>
      <c r="R15" s="325"/>
      <c r="S15" s="325"/>
    </row>
    <row r="16" ht="12.75" customHeight="1">
      <c r="A16" s="330" t="s">
        <v>174</v>
      </c>
      <c r="B16" s="327"/>
      <c r="C16" s="327"/>
      <c r="D16" s="327"/>
      <c r="E16" s="327"/>
      <c r="F16" s="328"/>
      <c r="G16" s="329"/>
      <c r="H16" s="16"/>
      <c r="I16" s="114"/>
      <c r="J16" s="103"/>
      <c r="K16" s="114"/>
      <c r="O16" s="103"/>
      <c r="P16" s="24"/>
      <c r="Q16" s="24"/>
      <c r="R16" s="24"/>
      <c r="S16" s="24"/>
    </row>
    <row r="17" ht="15.0" customHeight="1">
      <c r="A17" s="24"/>
      <c r="B17" s="24"/>
      <c r="C17" s="24"/>
      <c r="D17" s="24"/>
      <c r="E17" s="24"/>
      <c r="F17" s="24"/>
      <c r="G17" s="24"/>
      <c r="H17" s="16"/>
      <c r="I17" s="114"/>
      <c r="J17" s="103"/>
      <c r="K17" s="91"/>
      <c r="L17" s="36"/>
      <c r="M17" s="36"/>
      <c r="N17" s="36"/>
      <c r="O17" s="92"/>
      <c r="P17" s="28"/>
      <c r="Q17" s="28"/>
      <c r="R17" s="28"/>
      <c r="S17" s="28"/>
    </row>
    <row r="18" ht="15.0" customHeight="1">
      <c r="A18" s="28"/>
      <c r="B18" s="28"/>
      <c r="C18" s="28"/>
      <c r="D18" s="28"/>
      <c r="E18" s="28"/>
      <c r="F18" s="28"/>
      <c r="G18" s="28"/>
      <c r="H18" s="16"/>
      <c r="I18" s="110" t="s">
        <v>101</v>
      </c>
      <c r="J18" s="115"/>
      <c r="K18" s="99" t="s">
        <v>102</v>
      </c>
      <c r="L18" s="88"/>
      <c r="M18" s="88"/>
      <c r="N18" s="88"/>
      <c r="O18" s="86"/>
      <c r="P18" s="325"/>
      <c r="Q18" s="325"/>
      <c r="R18" s="325"/>
      <c r="S18" s="325"/>
    </row>
    <row r="19" ht="15.0" customHeight="1">
      <c r="A19" s="330" t="s">
        <v>103</v>
      </c>
      <c r="B19" s="327"/>
      <c r="C19" s="327"/>
      <c r="D19" s="327"/>
      <c r="E19" s="327"/>
      <c r="F19" s="328"/>
      <c r="G19" s="329"/>
      <c r="H19" s="16"/>
      <c r="I19" s="116" t="s">
        <v>175</v>
      </c>
      <c r="J19" s="102"/>
      <c r="O19" s="103"/>
      <c r="P19" s="24"/>
      <c r="Q19" s="24"/>
      <c r="R19" s="24"/>
      <c r="S19" s="24"/>
    </row>
    <row r="20" ht="15.0" customHeight="1">
      <c r="A20" s="24"/>
      <c r="B20" s="24"/>
      <c r="C20" s="24"/>
      <c r="D20" s="24"/>
      <c r="E20" s="24"/>
      <c r="F20" s="24"/>
      <c r="G20" s="24"/>
      <c r="H20" s="16"/>
      <c r="I20" s="108"/>
      <c r="J20" s="117"/>
      <c r="K20" s="36"/>
      <c r="L20" s="36"/>
      <c r="M20" s="36"/>
      <c r="N20" s="36"/>
      <c r="O20" s="92"/>
      <c r="P20" s="28"/>
      <c r="Q20" s="28"/>
      <c r="R20" s="28"/>
      <c r="S20" s="28"/>
    </row>
    <row r="21" ht="15.0" customHeight="1">
      <c r="A21" s="24"/>
      <c r="B21" s="24"/>
      <c r="C21" s="24"/>
      <c r="D21" s="24"/>
      <c r="E21" s="24"/>
      <c r="F21" s="24"/>
      <c r="G21" s="24"/>
      <c r="H21" s="16"/>
      <c r="I21" s="116"/>
      <c r="J21" s="331"/>
      <c r="K21" s="111" t="s">
        <v>106</v>
      </c>
      <c r="L21" s="88"/>
      <c r="M21" s="88"/>
      <c r="N21" s="88"/>
      <c r="O21" s="86"/>
      <c r="P21" s="325"/>
      <c r="Q21" s="325"/>
      <c r="R21" s="325"/>
      <c r="S21" s="325"/>
    </row>
    <row r="22" ht="15.0" customHeight="1">
      <c r="A22" s="28"/>
      <c r="B22" s="28"/>
      <c r="C22" s="28"/>
      <c r="D22" s="28"/>
      <c r="E22" s="28"/>
      <c r="F22" s="28"/>
      <c r="G22" s="28"/>
      <c r="H22" s="16"/>
      <c r="I22" s="116"/>
      <c r="J22" s="331"/>
      <c r="K22" s="114"/>
      <c r="O22" s="103"/>
      <c r="P22" s="24"/>
      <c r="Q22" s="24"/>
      <c r="R22" s="24"/>
      <c r="S22" s="24"/>
    </row>
    <row r="23" ht="19.5" customHeight="1">
      <c r="A23" s="119" t="s">
        <v>107</v>
      </c>
      <c r="B23" s="332"/>
      <c r="C23" s="332"/>
      <c r="D23" s="332"/>
      <c r="E23" s="332"/>
      <c r="F23" s="333"/>
      <c r="G23" s="334"/>
      <c r="H23" s="16"/>
      <c r="I23" s="101"/>
      <c r="J23" s="331"/>
      <c r="K23" s="114"/>
      <c r="O23" s="103"/>
      <c r="P23" s="24"/>
      <c r="Q23" s="24"/>
      <c r="R23" s="24"/>
      <c r="S23" s="24"/>
    </row>
    <row r="24" ht="19.5" customHeight="1">
      <c r="A24" s="335" t="s">
        <v>176</v>
      </c>
      <c r="B24" s="336"/>
      <c r="C24" s="337"/>
      <c r="D24" s="337"/>
      <c r="E24" s="337"/>
      <c r="F24" s="338"/>
      <c r="G24" s="339"/>
      <c r="H24" s="16"/>
      <c r="I24" s="116" t="s">
        <v>105</v>
      </c>
      <c r="J24" s="103"/>
      <c r="K24" s="91"/>
      <c r="L24" s="36"/>
      <c r="M24" s="36"/>
      <c r="N24" s="36"/>
      <c r="O24" s="92"/>
      <c r="P24" s="28"/>
      <c r="Q24" s="28"/>
      <c r="R24" s="28"/>
      <c r="S24" s="28"/>
    </row>
    <row r="25" ht="19.5" customHeight="1">
      <c r="A25" s="335" t="s">
        <v>177</v>
      </c>
      <c r="B25" s="336"/>
      <c r="C25" s="337"/>
      <c r="D25" s="337"/>
      <c r="E25" s="337"/>
      <c r="F25" s="338"/>
      <c r="G25" s="339"/>
      <c r="H25" s="16"/>
      <c r="I25" s="133" t="s">
        <v>110</v>
      </c>
      <c r="J25" s="103"/>
      <c r="K25" s="111" t="s">
        <v>111</v>
      </c>
      <c r="L25" s="88"/>
      <c r="M25" s="88"/>
      <c r="N25" s="88"/>
      <c r="O25" s="86"/>
      <c r="P25" s="325"/>
      <c r="Q25" s="325"/>
      <c r="R25" s="325"/>
      <c r="S25" s="325"/>
    </row>
    <row r="26" ht="19.5" customHeight="1">
      <c r="A26" s="335" t="s">
        <v>178</v>
      </c>
      <c r="B26" s="336"/>
      <c r="C26" s="337"/>
      <c r="D26" s="337"/>
      <c r="E26" s="337"/>
      <c r="F26" s="338"/>
      <c r="G26" s="339"/>
      <c r="H26" s="16"/>
      <c r="I26" s="116"/>
      <c r="J26" s="331"/>
      <c r="K26" s="114"/>
      <c r="O26" s="103"/>
      <c r="P26" s="24"/>
      <c r="Q26" s="24"/>
      <c r="R26" s="24"/>
      <c r="S26" s="24"/>
    </row>
    <row r="27" ht="19.5" customHeight="1">
      <c r="A27" s="340" t="s">
        <v>179</v>
      </c>
      <c r="B27" s="336"/>
      <c r="C27" s="337"/>
      <c r="D27" s="337"/>
      <c r="E27" s="337"/>
      <c r="F27" s="338"/>
      <c r="G27" s="339"/>
      <c r="H27" s="16"/>
      <c r="I27" s="116"/>
      <c r="J27" s="331"/>
      <c r="K27" s="114"/>
      <c r="O27" s="103"/>
      <c r="P27" s="24"/>
      <c r="Q27" s="24"/>
      <c r="R27" s="24"/>
      <c r="S27" s="24"/>
    </row>
    <row r="28" ht="19.5" customHeight="1">
      <c r="A28" s="341"/>
      <c r="B28" s="137" t="s">
        <v>113</v>
      </c>
      <c r="C28" s="40"/>
      <c r="D28" s="40"/>
      <c r="E28" s="83"/>
      <c r="F28" s="342"/>
      <c r="G28" s="343"/>
      <c r="H28" s="16"/>
      <c r="I28" s="344"/>
      <c r="J28" s="117"/>
      <c r="K28" s="91"/>
      <c r="L28" s="36"/>
      <c r="M28" s="36"/>
      <c r="N28" s="36"/>
      <c r="O28" s="92"/>
      <c r="P28" s="28"/>
      <c r="Q28" s="28"/>
      <c r="R28" s="28"/>
      <c r="S28" s="28"/>
    </row>
    <row r="29" ht="15.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15.0" customHeight="1">
      <c r="A30" s="147" t="s">
        <v>117</v>
      </c>
      <c r="C30" s="144"/>
      <c r="D30" s="144" t="s">
        <v>118</v>
      </c>
      <c r="F30" s="145" t="s">
        <v>82</v>
      </c>
      <c r="H30" s="79"/>
      <c r="I30" s="144"/>
      <c r="J30" s="145" t="s">
        <v>119</v>
      </c>
      <c r="M30" s="146"/>
      <c r="N30" s="145" t="s">
        <v>120</v>
      </c>
      <c r="S30" s="16"/>
    </row>
    <row r="31" ht="15.0" customHeight="1">
      <c r="A31" s="148" t="s">
        <v>121</v>
      </c>
      <c r="D31" s="149" t="s">
        <v>122</v>
      </c>
      <c r="F31" s="149" t="s">
        <v>87</v>
      </c>
      <c r="H31" s="79"/>
      <c r="I31" s="79"/>
      <c r="J31" s="149" t="s">
        <v>89</v>
      </c>
      <c r="M31" s="146"/>
      <c r="N31" s="79"/>
      <c r="O31" s="79" t="s">
        <v>123</v>
      </c>
      <c r="P31" s="79"/>
      <c r="Q31" s="79"/>
      <c r="R31" s="79"/>
      <c r="S31" s="16"/>
    </row>
    <row r="32" ht="15.0" customHeight="1">
      <c r="A32" s="148" t="s">
        <v>124</v>
      </c>
      <c r="D32" s="149" t="s">
        <v>125</v>
      </c>
      <c r="F32" s="149" t="s">
        <v>87</v>
      </c>
      <c r="H32" s="79"/>
      <c r="I32" s="79"/>
      <c r="J32" s="149" t="s">
        <v>126</v>
      </c>
      <c r="M32" s="146"/>
      <c r="N32" s="79"/>
      <c r="O32" s="79" t="s">
        <v>127</v>
      </c>
      <c r="P32" s="79"/>
      <c r="Q32" s="79"/>
      <c r="R32" s="79"/>
      <c r="S32" s="16"/>
    </row>
    <row r="33" ht="15.0" customHeight="1">
      <c r="A33" s="148" t="s">
        <v>128</v>
      </c>
      <c r="D33" s="149" t="s">
        <v>129</v>
      </c>
      <c r="F33" s="149" t="s">
        <v>87</v>
      </c>
      <c r="H33" s="79"/>
      <c r="I33" s="79"/>
      <c r="J33" s="149" t="s">
        <v>130</v>
      </c>
      <c r="M33" s="146"/>
      <c r="N33" s="79"/>
      <c r="O33" s="79" t="s">
        <v>131</v>
      </c>
      <c r="P33" s="79"/>
      <c r="Q33" s="79"/>
      <c r="R33" s="79"/>
      <c r="S33" s="16"/>
    </row>
    <row r="34" ht="15.0" customHeight="1">
      <c r="A34" s="148" t="s">
        <v>132</v>
      </c>
      <c r="D34" s="149" t="s">
        <v>133</v>
      </c>
      <c r="F34" s="149" t="s">
        <v>87</v>
      </c>
      <c r="H34" s="79"/>
      <c r="I34" s="79"/>
      <c r="J34" s="149" t="s">
        <v>134</v>
      </c>
      <c r="M34" s="146"/>
      <c r="N34" s="79"/>
      <c r="O34" s="79" t="s">
        <v>135</v>
      </c>
      <c r="P34" s="79"/>
      <c r="Q34" s="79"/>
      <c r="R34" s="79"/>
      <c r="S34" s="16"/>
    </row>
    <row r="35" ht="15.0" customHeight="1">
      <c r="A35" s="148" t="s">
        <v>136</v>
      </c>
      <c r="D35" s="149" t="s">
        <v>137</v>
      </c>
      <c r="F35" s="149" t="s">
        <v>138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16"/>
    </row>
    <row r="36" ht="13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50"/>
    </row>
    <row r="37" ht="13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</row>
    <row r="39" ht="13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</row>
    <row r="53" ht="12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</row>
    <row r="54" ht="12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D13:D15"/>
    <mergeCell ref="E13:E15"/>
    <mergeCell ref="D16:D18"/>
    <mergeCell ref="E16:E18"/>
    <mergeCell ref="F13:F15"/>
    <mergeCell ref="G13:G15"/>
    <mergeCell ref="F16:F18"/>
    <mergeCell ref="G16:G18"/>
    <mergeCell ref="D9:D10"/>
    <mergeCell ref="E9:E10"/>
    <mergeCell ref="D11:D12"/>
    <mergeCell ref="E11:E12"/>
    <mergeCell ref="F11:F12"/>
    <mergeCell ref="G11:G12"/>
    <mergeCell ref="I12:J17"/>
    <mergeCell ref="B9:B10"/>
    <mergeCell ref="C9:C10"/>
    <mergeCell ref="A11:A12"/>
    <mergeCell ref="B11:B12"/>
    <mergeCell ref="C11:C12"/>
    <mergeCell ref="B13:B15"/>
    <mergeCell ref="C13:C15"/>
    <mergeCell ref="D19:D22"/>
    <mergeCell ref="E19:E22"/>
    <mergeCell ref="F19:F22"/>
    <mergeCell ref="G19:G22"/>
    <mergeCell ref="B28:E28"/>
    <mergeCell ref="D30:E30"/>
    <mergeCell ref="F30:G30"/>
    <mergeCell ref="A13:A15"/>
    <mergeCell ref="A16:A18"/>
    <mergeCell ref="B16:B18"/>
    <mergeCell ref="C16:C18"/>
    <mergeCell ref="A19:A22"/>
    <mergeCell ref="B19:B22"/>
    <mergeCell ref="C19:C22"/>
    <mergeCell ref="A30:B30"/>
    <mergeCell ref="A31:C31"/>
    <mergeCell ref="D31:E31"/>
    <mergeCell ref="F31:G31"/>
    <mergeCell ref="A32:C32"/>
    <mergeCell ref="D32:E32"/>
    <mergeCell ref="F32:G32"/>
    <mergeCell ref="D35:E35"/>
    <mergeCell ref="F35:G35"/>
    <mergeCell ref="A33:C33"/>
    <mergeCell ref="D33:E33"/>
    <mergeCell ref="F33:G33"/>
    <mergeCell ref="A34:C34"/>
    <mergeCell ref="D34:E34"/>
    <mergeCell ref="F34:G34"/>
    <mergeCell ref="A35:C35"/>
    <mergeCell ref="K12:O14"/>
    <mergeCell ref="P12:P14"/>
    <mergeCell ref="Q12:Q14"/>
    <mergeCell ref="R12:R14"/>
    <mergeCell ref="S12:S14"/>
    <mergeCell ref="P15:P17"/>
    <mergeCell ref="S15:S17"/>
    <mergeCell ref="R21:R24"/>
    <mergeCell ref="S21:S24"/>
    <mergeCell ref="R36:S36"/>
    <mergeCell ref="K15:O17"/>
    <mergeCell ref="K18:O20"/>
    <mergeCell ref="P18:P20"/>
    <mergeCell ref="Q18:Q20"/>
    <mergeCell ref="R18:R20"/>
    <mergeCell ref="S18:S20"/>
    <mergeCell ref="K21:O24"/>
    <mergeCell ref="J31:L31"/>
    <mergeCell ref="J32:L32"/>
    <mergeCell ref="J33:L33"/>
    <mergeCell ref="J34:L34"/>
    <mergeCell ref="K25:O28"/>
    <mergeCell ref="P25:P28"/>
    <mergeCell ref="Q25:Q28"/>
    <mergeCell ref="R25:R28"/>
    <mergeCell ref="S25:S28"/>
    <mergeCell ref="J30:L30"/>
    <mergeCell ref="N30:R30"/>
    <mergeCell ref="A1:G1"/>
    <mergeCell ref="I1:S1"/>
    <mergeCell ref="B3:E3"/>
    <mergeCell ref="G3:G4"/>
    <mergeCell ref="I3:J4"/>
    <mergeCell ref="K3:O4"/>
    <mergeCell ref="P3:S3"/>
    <mergeCell ref="G5:G6"/>
    <mergeCell ref="K5:O8"/>
    <mergeCell ref="P5:P8"/>
    <mergeCell ref="Q5:Q8"/>
    <mergeCell ref="R5:R8"/>
    <mergeCell ref="S5:S8"/>
    <mergeCell ref="G7:G8"/>
    <mergeCell ref="I7:J7"/>
    <mergeCell ref="A3:A4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F9:F10"/>
    <mergeCell ref="G9:G10"/>
    <mergeCell ref="K9:O11"/>
    <mergeCell ref="P9:P11"/>
    <mergeCell ref="Q9:Q11"/>
    <mergeCell ref="R9:R11"/>
    <mergeCell ref="S9:S11"/>
    <mergeCell ref="Q15:Q17"/>
    <mergeCell ref="R15:R17"/>
    <mergeCell ref="P21:P24"/>
    <mergeCell ref="Q21:Q24"/>
    <mergeCell ref="I24:J24"/>
    <mergeCell ref="I25:J25"/>
  </mergeCells>
  <printOptions/>
  <pageMargins bottom="0.25" footer="0.0" header="0.0" left="0.3" right="0.0" top="0.5"/>
  <pageSetup fitToHeight="0" orientation="landscape"/>
  <drawing r:id="rId1"/>
</worksheet>
</file>